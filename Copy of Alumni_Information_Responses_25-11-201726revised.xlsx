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sdnpun01a\xbbly5c$\Ananth\Personal\CCAA Documents\"/>
    </mc:Choice>
  </mc:AlternateContent>
  <bookViews>
    <workbookView xWindow="390" yWindow="555" windowWidth="19815" windowHeight="9405" firstSheet="1" activeTab="3"/>
  </bookViews>
  <sheets>
    <sheet name="Form Responses 1" sheetId="1" r:id="rId1"/>
    <sheet name="Updated till 25112017" sheetId="2" r:id="rId2"/>
    <sheet name="Final before 2611" sheetId="3" r:id="rId3"/>
    <sheet name="Pre Registered Paid" sheetId="4" r:id="rId4"/>
    <sheet name="Pre Registered Not Paid" sheetId="5" r:id="rId5"/>
  </sheets>
  <definedNames>
    <definedName name="_xlnm._FilterDatabase" localSheetId="2" hidden="1">'Final before 2611'!$A$1:$T$227</definedName>
    <definedName name="_xlnm._FilterDatabase" localSheetId="4" hidden="1">'Pre Registered Not Paid'!$A$1:$T$64</definedName>
    <definedName name="_xlnm._FilterDatabase" localSheetId="3" hidden="1">'Pre Registered Paid'!$A$1:$X$190</definedName>
    <definedName name="_xlnm._FilterDatabase" localSheetId="1" hidden="1">'Updated till 25112017'!$A$1:$T$217</definedName>
    <definedName name="_xlnm.Print_Area" localSheetId="4">'Pre Registered Not Paid'!$A$1:$T$64</definedName>
    <definedName name="_xlnm.Print_Area" localSheetId="3">'Pre Registered Paid'!$A$1:$T$160</definedName>
    <definedName name="_xlnm.Print_Titles" localSheetId="4">'Pre Registered Not Paid'!$1:$1</definedName>
    <definedName name="_xlnm.Print_Titles" localSheetId="3">'Pre Registered Paid'!$1:$1</definedName>
  </definedNames>
  <calcPr calcId="162913" calcOnSave="0"/>
</workbook>
</file>

<file path=xl/calcChain.xml><?xml version="1.0" encoding="utf-8"?>
<calcChain xmlns="http://schemas.openxmlformats.org/spreadsheetml/2006/main">
  <c r="T66" i="5" l="1"/>
  <c r="S66" i="5"/>
  <c r="P66" i="5"/>
  <c r="O66" i="5"/>
  <c r="S192" i="4"/>
  <c r="P192" i="4"/>
  <c r="O192" i="4"/>
  <c r="R173" i="4"/>
  <c r="R161" i="4"/>
  <c r="R181" i="4"/>
  <c r="R168" i="4"/>
  <c r="R166" i="4"/>
  <c r="R186" i="4"/>
  <c r="R69" i="4"/>
  <c r="R177" i="4"/>
  <c r="R58" i="4"/>
  <c r="R171" i="4"/>
  <c r="U142" i="4"/>
  <c r="U18" i="4"/>
  <c r="U20" i="4"/>
  <c r="U21" i="4"/>
  <c r="U158" i="4"/>
  <c r="U155" i="4"/>
  <c r="U152" i="4"/>
  <c r="U117" i="4"/>
  <c r="U110" i="4"/>
  <c r="U46" i="4"/>
  <c r="U91" i="4"/>
  <c r="U115" i="4"/>
  <c r="U69" i="4"/>
  <c r="U43" i="4"/>
  <c r="U22" i="4"/>
  <c r="U17" i="4"/>
  <c r="U154" i="4"/>
  <c r="U92" i="4"/>
  <c r="U64" i="4"/>
  <c r="U15" i="4"/>
  <c r="U150" i="4"/>
  <c r="U52" i="4"/>
  <c r="U87" i="4"/>
  <c r="U41" i="4"/>
  <c r="U13" i="4"/>
  <c r="U42" i="4"/>
  <c r="U44" i="4"/>
  <c r="U161" i="4"/>
  <c r="U39" i="4"/>
  <c r="U99" i="4"/>
  <c r="U95" i="4"/>
  <c r="U94" i="4"/>
  <c r="U98" i="4"/>
  <c r="U4" i="4"/>
  <c r="U54" i="4"/>
  <c r="U148" i="4"/>
  <c r="U6" i="4"/>
  <c r="U12" i="4"/>
  <c r="U162" i="4"/>
  <c r="U145" i="4"/>
  <c r="U26" i="4"/>
  <c r="U7" i="4"/>
  <c r="U57" i="4"/>
  <c r="U102" i="4"/>
  <c r="U101" i="4"/>
  <c r="U103" i="4"/>
  <c r="U114" i="4"/>
  <c r="U78" i="4"/>
  <c r="U85" i="4"/>
  <c r="U75" i="4"/>
  <c r="U27" i="4"/>
  <c r="U164" i="4"/>
  <c r="U163" i="4"/>
  <c r="U160" i="4"/>
  <c r="U159" i="4"/>
  <c r="U28" i="4"/>
  <c r="U149" i="4"/>
  <c r="U151" i="4"/>
  <c r="U50" i="4"/>
  <c r="U11" i="4"/>
  <c r="U10" i="4"/>
  <c r="U9" i="4"/>
  <c r="U128" i="4"/>
  <c r="U123" i="4"/>
  <c r="U70" i="4"/>
  <c r="U124" i="4"/>
  <c r="U157" i="4"/>
  <c r="U118" i="4"/>
  <c r="U137" i="4"/>
  <c r="U125" i="4"/>
  <c r="U84" i="4"/>
  <c r="U130" i="4"/>
  <c r="U133" i="4"/>
  <c r="U138" i="4"/>
  <c r="U67" i="4"/>
  <c r="U105" i="4"/>
  <c r="U73" i="4"/>
  <c r="U71" i="4"/>
  <c r="U136" i="4"/>
  <c r="U111" i="4"/>
  <c r="U68" i="4"/>
  <c r="U3" i="4"/>
  <c r="U140" i="4"/>
  <c r="U31" i="4"/>
  <c r="U30" i="4"/>
  <c r="U129" i="4"/>
  <c r="U127" i="4"/>
  <c r="U93" i="4"/>
  <c r="U86" i="4"/>
  <c r="U76" i="4"/>
  <c r="U131" i="4"/>
  <c r="U143" i="4"/>
  <c r="U104" i="4"/>
  <c r="U88" i="4"/>
  <c r="U72" i="4"/>
  <c r="U66" i="4"/>
  <c r="U60" i="4"/>
  <c r="U116" i="4"/>
  <c r="U49" i="4"/>
  <c r="U100" i="4"/>
  <c r="U63" i="4"/>
  <c r="U65" i="4"/>
  <c r="U112" i="4"/>
  <c r="U139" i="4"/>
  <c r="U74" i="4"/>
  <c r="U40" i="4"/>
  <c r="U106" i="4"/>
  <c r="U83" i="4"/>
  <c r="U141" i="4"/>
  <c r="U144" i="4"/>
  <c r="U108" i="4"/>
  <c r="U90" i="4"/>
  <c r="U58" i="4"/>
  <c r="U35" i="4"/>
  <c r="U77" i="4"/>
  <c r="U16" i="4"/>
  <c r="U122" i="4"/>
  <c r="U81" i="4"/>
  <c r="U19" i="4"/>
  <c r="U8" i="4"/>
  <c r="U109" i="4"/>
  <c r="U5" i="4"/>
  <c r="U96" i="4"/>
  <c r="U59" i="4"/>
  <c r="U79" i="4"/>
  <c r="U56" i="4"/>
  <c r="U55" i="4"/>
  <c r="U48" i="4"/>
  <c r="U61" i="4"/>
  <c r="U2" i="4"/>
  <c r="U14" i="4"/>
  <c r="U153" i="4"/>
  <c r="U36" i="4"/>
  <c r="U97" i="4"/>
  <c r="U62" i="4"/>
  <c r="U82" i="4"/>
  <c r="U53" i="4"/>
  <c r="U119" i="4"/>
  <c r="U34" i="4"/>
  <c r="U113" i="4"/>
  <c r="U47" i="4"/>
  <c r="U37" i="4"/>
  <c r="U51" i="4"/>
  <c r="U120" i="4"/>
  <c r="U29" i="4"/>
  <c r="U45" i="4"/>
  <c r="U32" i="4"/>
  <c r="U25" i="4"/>
  <c r="U38" i="4"/>
  <c r="U33" i="4"/>
  <c r="U156" i="4"/>
  <c r="U80" i="4"/>
  <c r="U107" i="4"/>
  <c r="U147" i="4"/>
  <c r="U146" i="4"/>
  <c r="U24" i="4"/>
  <c r="U121" i="4"/>
  <c r="U89" i="4"/>
  <c r="U23" i="4"/>
  <c r="R144" i="4"/>
  <c r="R141" i="4"/>
  <c r="R149" i="4"/>
  <c r="R165" i="3"/>
  <c r="R152" i="3"/>
  <c r="R140" i="3"/>
  <c r="R166" i="2"/>
  <c r="R153" i="2"/>
  <c r="R140" i="2"/>
  <c r="R192" i="4" l="1"/>
</calcChain>
</file>

<file path=xl/comments1.xml><?xml version="1.0" encoding="utf-8"?>
<comments xmlns="http://schemas.openxmlformats.org/spreadsheetml/2006/main">
  <authors>
    <author/>
  </authors>
  <commentList>
    <comment ref="J9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G80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L87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66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M72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H66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M72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M17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123" authorId="0" shapeId="0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<sst xmlns="http://schemas.openxmlformats.org/spreadsheetml/2006/main" count="8357" uniqueCount="796">
  <si>
    <t>Timestamp</t>
  </si>
  <si>
    <t>Name</t>
  </si>
  <si>
    <t>Batch</t>
  </si>
  <si>
    <t>Mobile</t>
  </si>
  <si>
    <t>Will you be Attending the event on 26th November 2017</t>
  </si>
  <si>
    <t>How Many Attendees? Adult? Kids? (Kids Below 12 years)</t>
  </si>
  <si>
    <t xml:space="preserve">Non-Veg </t>
  </si>
  <si>
    <t>Have you made any Donation/Contribution (Not Advertisement) earlier? Individually or as a Group (If Group kindly send us the list to rameshrajaram103@gmail.com</t>
  </si>
  <si>
    <t xml:space="preserve">If Yes, are you ok to deduct the Event Entry Fee (200/- Per Alumni) and Alumni Membership Fee (100/- Per Alumni) Note : These will be deducted only for the Alumni and not for the accompanying person. </t>
  </si>
  <si>
    <t>Email ID</t>
  </si>
  <si>
    <t>Current Location</t>
  </si>
  <si>
    <t>K J Mohan Kumar</t>
  </si>
  <si>
    <t>+918056040379</t>
  </si>
  <si>
    <t>Yes</t>
  </si>
  <si>
    <t>Self only</t>
  </si>
  <si>
    <t>Veg</t>
  </si>
  <si>
    <t>kj_mohan_kumar@yahoo.co.in</t>
  </si>
  <si>
    <t>India, Chennai</t>
  </si>
  <si>
    <t>James T Samuel</t>
  </si>
  <si>
    <t>+971506260258</t>
  </si>
  <si>
    <t>Non-veg</t>
  </si>
  <si>
    <t>jts@wavesme.com</t>
  </si>
  <si>
    <t>Sharjah</t>
  </si>
  <si>
    <t>Mir Mahmood Ali</t>
  </si>
  <si>
    <t>+966565145561</t>
  </si>
  <si>
    <t>No</t>
  </si>
  <si>
    <t>N/A</t>
  </si>
  <si>
    <t xml:space="preserve">mirsolid@gmail.com </t>
  </si>
  <si>
    <t>Riyadh - Saudi Arabia</t>
  </si>
  <si>
    <t>Shaheen Ara</t>
  </si>
  <si>
    <t>Nil</t>
  </si>
  <si>
    <t>shaheengulf@gmail.com</t>
  </si>
  <si>
    <t>Dubai UAE</t>
  </si>
  <si>
    <t>N G Dhayanandhan</t>
  </si>
  <si>
    <t>+918825655102</t>
  </si>
  <si>
    <t>Non veg</t>
  </si>
  <si>
    <t>ngdaya@yahoo.co.in</t>
  </si>
  <si>
    <t>India  Chennai</t>
  </si>
  <si>
    <t>Thompson P J</t>
  </si>
  <si>
    <t>+919940456100</t>
  </si>
  <si>
    <t>1 Adult</t>
  </si>
  <si>
    <t>Non-Veg</t>
  </si>
  <si>
    <t>shaajan.thomas@gmail.com</t>
  </si>
  <si>
    <t xml:space="preserve">Usha Rajakumar </t>
  </si>
  <si>
    <t xml:space="preserve">None </t>
  </si>
  <si>
    <t>None</t>
  </si>
  <si>
    <t>Usha_uk@hotmail.com</t>
  </si>
  <si>
    <t xml:space="preserve">United Kingdom, London </t>
  </si>
  <si>
    <t>Amrith Kurien</t>
  </si>
  <si>
    <t>+ 220 3362667</t>
  </si>
  <si>
    <t>NA</t>
  </si>
  <si>
    <t>Amrith@comafrique.gm</t>
  </si>
  <si>
    <t>The Gambia</t>
  </si>
  <si>
    <t>Timothy Jayasingh</t>
  </si>
  <si>
    <t>+919840996529</t>
  </si>
  <si>
    <t>tim76in@gmail.com</t>
  </si>
  <si>
    <t>Capt.Inayathulla Sharif</t>
  </si>
  <si>
    <t>+919884078687</t>
  </si>
  <si>
    <t>capt.isharif22@gmail.com</t>
  </si>
  <si>
    <t>Chennai</t>
  </si>
  <si>
    <t>Nandhini D P</t>
  </si>
  <si>
    <t>+91 9094287500</t>
  </si>
  <si>
    <t>1+1</t>
  </si>
  <si>
    <t>nandhinidp@gmail.com</t>
  </si>
  <si>
    <t>Vajiravelu Rajasekhar</t>
  </si>
  <si>
    <t>+971529078062</t>
  </si>
  <si>
    <t>Two . One adult and 12year old kid</t>
  </si>
  <si>
    <t>Non-Vegetarian</t>
  </si>
  <si>
    <t>rajasekhar@emirates.com</t>
  </si>
  <si>
    <t>U.A.E.  -  Dubai</t>
  </si>
  <si>
    <t>S.Fouzia Rahman</t>
  </si>
  <si>
    <t>91 9710733174</t>
  </si>
  <si>
    <t>2 Adults 2 kids</t>
  </si>
  <si>
    <t>creative_fouzia@yahoo.com</t>
  </si>
  <si>
    <t>Mir Gazanfer Ali</t>
  </si>
  <si>
    <t>+0018324692323</t>
  </si>
  <si>
    <t xml:space="preserve">Not applicable </t>
  </si>
  <si>
    <t>emgee51@gmail.com</t>
  </si>
  <si>
    <t xml:space="preserve">United States of America, Houston </t>
  </si>
  <si>
    <t>A. S. Venkhat Ramani</t>
  </si>
  <si>
    <t>+919003218255</t>
  </si>
  <si>
    <t>2 adults</t>
  </si>
  <si>
    <t>Both veg</t>
  </si>
  <si>
    <t>centurydirect@yahoo.com</t>
  </si>
  <si>
    <t xml:space="preserve">Chennai </t>
  </si>
  <si>
    <t xml:space="preserve">Ms.  Janette Michael </t>
  </si>
  <si>
    <t xml:space="preserve">+91 8939622285 </t>
  </si>
  <si>
    <t xml:space="preserve">Nil (just self) </t>
  </si>
  <si>
    <t>janette.michael2009in@gmail.com</t>
  </si>
  <si>
    <t xml:space="preserve">India,  Chennai </t>
  </si>
  <si>
    <t>T  Padmini</t>
  </si>
  <si>
    <t>91 9487417828</t>
  </si>
  <si>
    <t>One adult</t>
  </si>
  <si>
    <t>pthumula@gmail.com</t>
  </si>
  <si>
    <t>Coimbatore, India</t>
  </si>
  <si>
    <t>Bina Khiani</t>
  </si>
  <si>
    <t>+918056250727</t>
  </si>
  <si>
    <t>Not applicable</t>
  </si>
  <si>
    <t>binavarkha@gmail.com</t>
  </si>
  <si>
    <t>N. G. MANOHARAN</t>
  </si>
  <si>
    <t>+919901436902</t>
  </si>
  <si>
    <t>One</t>
  </si>
  <si>
    <t>manoharan.ng@gmail.com</t>
  </si>
  <si>
    <t>Bangalore, India.</t>
  </si>
  <si>
    <t>Sadan Palande</t>
  </si>
  <si>
    <t>+919840072030</t>
  </si>
  <si>
    <t>Sadanpalande@yahoo.co.in</t>
  </si>
  <si>
    <t>India chennai</t>
  </si>
  <si>
    <t>Esther kar nee Samuel</t>
  </si>
  <si>
    <t>+919810076808</t>
  </si>
  <si>
    <t>Non veg -1</t>
  </si>
  <si>
    <t>estherkar@gmail.com</t>
  </si>
  <si>
    <t xml:space="preserve">India, DELHI </t>
  </si>
  <si>
    <t>BOBBY MATHEW</t>
  </si>
  <si>
    <t>+919445155779</t>
  </si>
  <si>
    <t>2 Adults</t>
  </si>
  <si>
    <t>mathewbobby4@gmail.com</t>
  </si>
  <si>
    <t>Sandra Andrews</t>
  </si>
  <si>
    <t>+91-9962504674</t>
  </si>
  <si>
    <t>Smandrews1@gmail.com</t>
  </si>
  <si>
    <t>T. A. Ashok kumar</t>
  </si>
  <si>
    <t>+919847576253</t>
  </si>
  <si>
    <t>ashok_kumar195363@gmail.com</t>
  </si>
  <si>
    <t>India, Mahe</t>
  </si>
  <si>
    <t xml:space="preserve">Ramesh </t>
  </si>
  <si>
    <t xml:space="preserve">01. Adult </t>
  </si>
  <si>
    <t>rameshrajaram103@gmail.com</t>
  </si>
  <si>
    <t>Annie Rubens</t>
  </si>
  <si>
    <t>+919841899480</t>
  </si>
  <si>
    <t xml:space="preserve">Non-veg </t>
  </si>
  <si>
    <t>rubensannie67@yahoo.com</t>
  </si>
  <si>
    <t xml:space="preserve">P.Padmanabhan </t>
  </si>
  <si>
    <t xml:space="preserve">+91 9820556158 </t>
  </si>
  <si>
    <t xml:space="preserve">padmanabhanp86@gmail.com </t>
  </si>
  <si>
    <t xml:space="preserve">India, Guwahati </t>
  </si>
  <si>
    <t>Rachel (Nurse) Bayer</t>
  </si>
  <si>
    <t>+61 400727241</t>
  </si>
  <si>
    <t>ravin_88@hotmail.com</t>
  </si>
  <si>
    <t>Perth, Australia</t>
  </si>
  <si>
    <t>K. PAUL JAYAKAR</t>
  </si>
  <si>
    <t>+919444409845</t>
  </si>
  <si>
    <t>Non Veg</t>
  </si>
  <si>
    <t>pauljayakar@gmail.com</t>
  </si>
  <si>
    <t>P.N. CHANDRAN</t>
  </si>
  <si>
    <t>Only Self</t>
  </si>
  <si>
    <t xml:space="preserve">pn_chandran@yahoo.com </t>
  </si>
  <si>
    <t xml:space="preserve">India, Chennai </t>
  </si>
  <si>
    <t>Geoji Thomas</t>
  </si>
  <si>
    <t>+974 55047986</t>
  </si>
  <si>
    <t>geoji@hotmail.com</t>
  </si>
  <si>
    <t>Doha, Qatar</t>
  </si>
  <si>
    <t>Stephen Caster</t>
  </si>
  <si>
    <t>+919840716164</t>
  </si>
  <si>
    <t>NV</t>
  </si>
  <si>
    <t>steven.caster@gmail.com</t>
  </si>
  <si>
    <t>Bobby Theophil</t>
  </si>
  <si>
    <t>+612412433313</t>
  </si>
  <si>
    <t xml:space="preserve"> bobby_theophil@hotmail.com</t>
  </si>
  <si>
    <t xml:space="preserve">Sydney Australia </t>
  </si>
  <si>
    <t>Betty Jerushah Titus</t>
  </si>
  <si>
    <t>+919841603337</t>
  </si>
  <si>
    <t>bettyjerushah@yahoo.in</t>
  </si>
  <si>
    <t xml:space="preserve">Dr. Claribel Ezekiel </t>
  </si>
  <si>
    <t xml:space="preserve">+91 9840880093 </t>
  </si>
  <si>
    <t xml:space="preserve">claribel.ezekiel@gmail.com </t>
  </si>
  <si>
    <t>K.V. SASHI KUMAR</t>
  </si>
  <si>
    <t>9480586082/8840994145</t>
  </si>
  <si>
    <t>Not attending</t>
  </si>
  <si>
    <t>kvsashi@yahoo.in</t>
  </si>
  <si>
    <t>Kanpur, Uttar Pradesh</t>
  </si>
  <si>
    <t>K.V Sashi Kumar</t>
  </si>
  <si>
    <t>+919480586082/+918840994145</t>
  </si>
  <si>
    <t>ASLAM KHAN B</t>
  </si>
  <si>
    <t>+918778363580</t>
  </si>
  <si>
    <t>NON Veg</t>
  </si>
  <si>
    <t>assupete@gmail.com</t>
  </si>
  <si>
    <t>Chennai, India</t>
  </si>
  <si>
    <t>Thaseen Fathima</t>
  </si>
  <si>
    <t>+917358609397</t>
  </si>
  <si>
    <t>thaseen_syed@yahoo.com</t>
  </si>
  <si>
    <t>P Rajaseelan</t>
  </si>
  <si>
    <t>+919843503201</t>
  </si>
  <si>
    <t>1 - Self</t>
  </si>
  <si>
    <t>rajaseelan 2610@gmail.com</t>
  </si>
  <si>
    <t>Nilgiris</t>
  </si>
  <si>
    <t>Ruth Ravinder</t>
  </si>
  <si>
    <t>+919841114254</t>
  </si>
  <si>
    <t>1 adult and 1 child(7 years)</t>
  </si>
  <si>
    <t>1 veg and 1 non-veg</t>
  </si>
  <si>
    <t>ruthravinder@gmail.com</t>
  </si>
  <si>
    <t>Douglas Asirvatham.</t>
  </si>
  <si>
    <t>9791088439 +91</t>
  </si>
  <si>
    <t>douglasasirvatham539@gmail.com</t>
  </si>
  <si>
    <t>India,Chennai</t>
  </si>
  <si>
    <t>J MD Akram</t>
  </si>
  <si>
    <t>91-9840603021</t>
  </si>
  <si>
    <t>Akrammohammed904@gmail.con</t>
  </si>
  <si>
    <t xml:space="preserve">India chennai </t>
  </si>
  <si>
    <t>SUNIL NARVEKAR</t>
  </si>
  <si>
    <t>+919940155235</t>
  </si>
  <si>
    <t>sunil.narvekar@gmail.com</t>
  </si>
  <si>
    <t>Saranraj R</t>
  </si>
  <si>
    <t>+919663450651</t>
  </si>
  <si>
    <t>O</t>
  </si>
  <si>
    <t>sarandhoom@gmail.com</t>
  </si>
  <si>
    <t>chennai</t>
  </si>
  <si>
    <t>Gigi Thomas</t>
  </si>
  <si>
    <t>+919446971908</t>
  </si>
  <si>
    <t>gthomas41@gmail.com</t>
  </si>
  <si>
    <t>Kochi</t>
  </si>
  <si>
    <t>DUNSTAN WILLIAM LYONS</t>
  </si>
  <si>
    <t xml:space="preserve"> Mob-044 9790830693.  Res: 26700751</t>
  </si>
  <si>
    <t xml:space="preserve">                                                    -NA-</t>
  </si>
  <si>
    <t>lyons.dunstan@gmail.com</t>
  </si>
  <si>
    <t>Australia (T)  Permanent-India - Chennai</t>
  </si>
  <si>
    <t>Rajesh R Shah</t>
  </si>
  <si>
    <t>+919840833270</t>
  </si>
  <si>
    <t>rrshah1961@gmail.com</t>
  </si>
  <si>
    <t>Chennai India</t>
  </si>
  <si>
    <t>J.peter daniel</t>
  </si>
  <si>
    <t>+919444652222</t>
  </si>
  <si>
    <t>Only me</t>
  </si>
  <si>
    <t xml:space="preserve">Peterdaniel66@gmail.com </t>
  </si>
  <si>
    <t>K R SAI KUMAR</t>
  </si>
  <si>
    <t>91-9989320450</t>
  </si>
  <si>
    <t>KRSAIKUMAR@GMAIL.COM</t>
  </si>
  <si>
    <t>India</t>
  </si>
  <si>
    <t>PraveenKumar D</t>
  </si>
  <si>
    <t>+91-9840692597</t>
  </si>
  <si>
    <t>dpraveenk4u@gmail.com</t>
  </si>
  <si>
    <t>Bangalore,  India</t>
  </si>
  <si>
    <t xml:space="preserve">Nisha Narayanan </t>
  </si>
  <si>
    <t>+919884163128</t>
  </si>
  <si>
    <t>Nish_narayanan@yahoo.co.in</t>
  </si>
  <si>
    <t>India, Bangalore</t>
  </si>
  <si>
    <t>John Francis</t>
  </si>
  <si>
    <t>+919500174488</t>
  </si>
  <si>
    <t>johnskfrancis@yahoo.com</t>
  </si>
  <si>
    <t>Evelyn George (Francis)</t>
  </si>
  <si>
    <t>+919884048925</t>
  </si>
  <si>
    <t>USA, Michigan</t>
  </si>
  <si>
    <t>Dr. T. V. George</t>
  </si>
  <si>
    <t>+919841150575</t>
  </si>
  <si>
    <t>Jean Lane</t>
  </si>
  <si>
    <t>91 8056189572</t>
  </si>
  <si>
    <t>I adult</t>
  </si>
  <si>
    <t>jeanlane1112@gmail.com</t>
  </si>
  <si>
    <t>Kodambakkam-Chennai-India.</t>
  </si>
  <si>
    <t>P J Mammen</t>
  </si>
  <si>
    <t>+919840930111</t>
  </si>
  <si>
    <t xml:space="preserve">One </t>
  </si>
  <si>
    <t>mammens_pj@yahoo.com</t>
  </si>
  <si>
    <t xml:space="preserve">India Delhi </t>
  </si>
  <si>
    <t>Premnath Sahadevan</t>
  </si>
  <si>
    <t>91+44+9444255322</t>
  </si>
  <si>
    <t>prem_saha2000@yahoo.com</t>
  </si>
  <si>
    <t>M.K.MADANI BASHA</t>
  </si>
  <si>
    <t>4 Adult</t>
  </si>
  <si>
    <t>sakinaaz2k@gmail.com</t>
  </si>
  <si>
    <t>India Chennai</t>
  </si>
  <si>
    <t>C.. R. Suresh kumar</t>
  </si>
  <si>
    <t>91-9962513548</t>
  </si>
  <si>
    <t>kumarsuresh00755@gmail.com</t>
  </si>
  <si>
    <t>Amudha Ebenezer</t>
  </si>
  <si>
    <t>+919444132167</t>
  </si>
  <si>
    <t>amu.jack@yahoo.com</t>
  </si>
  <si>
    <t>Sujatha Murali</t>
  </si>
  <si>
    <t>+919942395548</t>
  </si>
  <si>
    <t>sujathamurali456@gmail.com</t>
  </si>
  <si>
    <t>S.Chandra</t>
  </si>
  <si>
    <t>+919500071584</t>
  </si>
  <si>
    <t>U.suresh25@gmail.com</t>
  </si>
  <si>
    <t>A. L .SRIRAM</t>
  </si>
  <si>
    <t>+919445149445</t>
  </si>
  <si>
    <t>Three adults</t>
  </si>
  <si>
    <t xml:space="preserve">All three Veg </t>
  </si>
  <si>
    <t>sriram_annam@yahoo.com</t>
  </si>
  <si>
    <t>V.KALIDAS</t>
  </si>
  <si>
    <t>+91-9841025789</t>
  </si>
  <si>
    <t>Vegetarian</t>
  </si>
  <si>
    <t>vkalidas@gmail.com</t>
  </si>
  <si>
    <t>+919841205789</t>
  </si>
  <si>
    <t>Only Me (One Adult)</t>
  </si>
  <si>
    <t>Kalpanaprakash</t>
  </si>
  <si>
    <t>+919444647283</t>
  </si>
  <si>
    <t>Kalpuprakash@gmail.com</t>
  </si>
  <si>
    <t>Annanagar,Chennai.</t>
  </si>
  <si>
    <t>Suchit Anant Palande</t>
  </si>
  <si>
    <t>+919840327282</t>
  </si>
  <si>
    <t>1 Veg + 1 Non-Veg</t>
  </si>
  <si>
    <t>suchitpalande@gmail.com</t>
  </si>
  <si>
    <t>P.Mahendra kumar</t>
  </si>
  <si>
    <t>+001 732-766-7931</t>
  </si>
  <si>
    <t>mansbaba@gmail.com</t>
  </si>
  <si>
    <t>USA,New Jersey</t>
  </si>
  <si>
    <t>ANNE</t>
  </si>
  <si>
    <t>+919841510676</t>
  </si>
  <si>
    <t>VEG</t>
  </si>
  <si>
    <t>anne.ozone@gmail.com</t>
  </si>
  <si>
    <t>VIJAYALAKSHMI</t>
  </si>
  <si>
    <t>+919941929120</t>
  </si>
  <si>
    <t xml:space="preserve">anne.ozone@gmail.com </t>
  </si>
  <si>
    <t xml:space="preserve">SHANKAR </t>
  </si>
  <si>
    <t>ASHOK CHUGANI</t>
  </si>
  <si>
    <t>non-veg</t>
  </si>
  <si>
    <t>K.S.BHASKARAN</t>
  </si>
  <si>
    <t>+919444262028</t>
  </si>
  <si>
    <t>ONE</t>
  </si>
  <si>
    <t>NON-VEG</t>
  </si>
  <si>
    <t>ks.bhaskaran@licindia.com</t>
  </si>
  <si>
    <t>INDIA, CHENNAI</t>
  </si>
  <si>
    <t>Cecilia Fernandes Rischmann</t>
  </si>
  <si>
    <t>ceciliarischmann@gmail.com</t>
  </si>
  <si>
    <t>CHENNAI</t>
  </si>
  <si>
    <t>J.saleem</t>
  </si>
  <si>
    <t>+919840433339</t>
  </si>
  <si>
    <t>Salim.hog@gmail.com</t>
  </si>
  <si>
    <t>Chandru Ramchand Soneji</t>
  </si>
  <si>
    <t>+91 9322262179</t>
  </si>
  <si>
    <t>chandru@vansonengineering.com</t>
  </si>
  <si>
    <t>Mumbai</t>
  </si>
  <si>
    <t>Dr. R. Saktheeswari</t>
  </si>
  <si>
    <t>91 9962565384</t>
  </si>
  <si>
    <t>Myself+1, adult</t>
  </si>
  <si>
    <t>dr.rsaktheeswari@yahoo.co.in</t>
  </si>
  <si>
    <t>Jerry Fernandes</t>
  </si>
  <si>
    <t>Jeronhefernandes@yahoo.com</t>
  </si>
  <si>
    <t>Rev.Dr.Thomas Rajan Joseph D.D. (Tommy)</t>
  </si>
  <si>
    <t>+91-9710729679</t>
  </si>
  <si>
    <t>tjoseph003@yahoo.co.in</t>
  </si>
  <si>
    <t>Suja Eapen</t>
  </si>
  <si>
    <t>+91 9884928996</t>
  </si>
  <si>
    <t>sujaeapen29@gmail.com</t>
  </si>
  <si>
    <t>Velmani Veerannan</t>
  </si>
  <si>
    <t>+919677088991</t>
  </si>
  <si>
    <t>vvelumani@yahoo.com</t>
  </si>
  <si>
    <t>Sumy Eapen</t>
  </si>
  <si>
    <t>sumyeapen@gmail.com</t>
  </si>
  <si>
    <t>UAE, Bahrain</t>
  </si>
  <si>
    <t>Benjamin Samuel</t>
  </si>
  <si>
    <t>N</t>
  </si>
  <si>
    <t>bensamuel2@gmail.com</t>
  </si>
  <si>
    <t>Perth, Western Australia</t>
  </si>
  <si>
    <t>Jennifer Ann Pascal (Santineer)</t>
  </si>
  <si>
    <t>+91 9840734632</t>
  </si>
  <si>
    <t>jenpascal50@gmail.com</t>
  </si>
  <si>
    <t>Rema Dileep Kumar</t>
  </si>
  <si>
    <t>Rema.dilip@nielsen.com</t>
  </si>
  <si>
    <t xml:space="preserve">United Arab Emirates- Sharjah </t>
  </si>
  <si>
    <t>PN Dileep Kumar</t>
  </si>
  <si>
    <t>dk6393@gmail.com</t>
  </si>
  <si>
    <t xml:space="preserve">United Arab Emirates - Sharjah </t>
  </si>
  <si>
    <t>Uma Yaseen</t>
  </si>
  <si>
    <t>Uma_y@yahoo.com</t>
  </si>
  <si>
    <t>United Arab Emirates- Sharjah</t>
  </si>
  <si>
    <t>Gerald rodrigues</t>
  </si>
  <si>
    <t>±919841534877</t>
  </si>
  <si>
    <t>Rgeraldbsns@yahoo.com</t>
  </si>
  <si>
    <t xml:space="preserve">Navin Jairam Jaswani </t>
  </si>
  <si>
    <t>+919840166599</t>
  </si>
  <si>
    <t xml:space="preserve">navinjjaswani@gmail.com </t>
  </si>
  <si>
    <t>Syed Asim Salam</t>
  </si>
  <si>
    <t>+919841304101</t>
  </si>
  <si>
    <t xml:space="preserve">Not interested </t>
  </si>
  <si>
    <t>navinjjaswani@gmail.com</t>
  </si>
  <si>
    <t>P.V. Ramesh</t>
  </si>
  <si>
    <t>+91 7395-981070</t>
  </si>
  <si>
    <t>Rameshcricketacademy@gmail.com</t>
  </si>
  <si>
    <t>India - Chennai</t>
  </si>
  <si>
    <t>Cecil Clements</t>
  </si>
  <si>
    <t>+919821936611</t>
  </si>
  <si>
    <t>1 nonveg</t>
  </si>
  <si>
    <t>cihclements@gmail.com</t>
  </si>
  <si>
    <t xml:space="preserve">Yasmin Manasseh </t>
  </si>
  <si>
    <t>+919894775928</t>
  </si>
  <si>
    <t>Adult 3 kid 1</t>
  </si>
  <si>
    <t>Non veg 4</t>
  </si>
  <si>
    <t>mark. manasseh @gmail. com</t>
  </si>
  <si>
    <t>S. Chandramohan</t>
  </si>
  <si>
    <t>+919841595328</t>
  </si>
  <si>
    <t>Veg+non veg</t>
  </si>
  <si>
    <t>chandramohan_1950@yahoo.com</t>
  </si>
  <si>
    <t xml:space="preserve">Dr Sumathi </t>
  </si>
  <si>
    <t>0091 9444201607</t>
  </si>
  <si>
    <t xml:space="preserve">Two </t>
  </si>
  <si>
    <t>Bin veg</t>
  </si>
  <si>
    <t>rameshrajaram103@gmail com</t>
  </si>
  <si>
    <t>D. Jesudas Bell alias Bell Samuel</t>
  </si>
  <si>
    <t xml:space="preserve">+919810847824 </t>
  </si>
  <si>
    <t>jesudas@futurelinks.com</t>
  </si>
  <si>
    <t>Singapore</t>
  </si>
  <si>
    <t>R.  Prasanna</t>
  </si>
  <si>
    <t>0091 7200035395</t>
  </si>
  <si>
    <t>raneshrajaram103@gmail.com</t>
  </si>
  <si>
    <t>David</t>
  </si>
  <si>
    <t xml:space="preserve"> 0091 7313592022</t>
  </si>
  <si>
    <t xml:space="preserve"> Non veg</t>
  </si>
  <si>
    <t>DAVID DAMIEL</t>
  </si>
  <si>
    <t>91 9840411384</t>
  </si>
  <si>
    <t>Devid _daniel@yahoo.co.in</t>
  </si>
  <si>
    <t>Koalthur chennai</t>
  </si>
  <si>
    <t>Kaleemullah Basha</t>
  </si>
  <si>
    <t>+91 9840300305</t>
  </si>
  <si>
    <t>Adult 1 kids 2</t>
  </si>
  <si>
    <t>Kaleem_tsm@yahoo.com</t>
  </si>
  <si>
    <t>Isabel Maria Fernandes</t>
  </si>
  <si>
    <t>+919940651360</t>
  </si>
  <si>
    <t>bella290777@gmail com</t>
  </si>
  <si>
    <t>Sensai Raj</t>
  </si>
  <si>
    <t>+919962265002</t>
  </si>
  <si>
    <t>Senroy2000@gmail.com</t>
  </si>
  <si>
    <t>Srinivasan K</t>
  </si>
  <si>
    <t>91-9686260328</t>
  </si>
  <si>
    <t>aksrini@yahoo.com</t>
  </si>
  <si>
    <t xml:space="preserve">Bangalore </t>
  </si>
  <si>
    <t>Suraja Pavithran</t>
  </si>
  <si>
    <t>Suraja.pavithran@gmail.com</t>
  </si>
  <si>
    <t>Thasnim Banu</t>
  </si>
  <si>
    <t>+919790990990</t>
  </si>
  <si>
    <t>2( 1 kid below 12)</t>
  </si>
  <si>
    <t>banuzulfi@gmail.com</t>
  </si>
  <si>
    <t>Sheba Sam</t>
  </si>
  <si>
    <t>+919176744651</t>
  </si>
  <si>
    <t>1 adult</t>
  </si>
  <si>
    <t>shebasamdxb@gmail.com</t>
  </si>
  <si>
    <t>C  Velayutham</t>
  </si>
  <si>
    <t>+919840993558</t>
  </si>
  <si>
    <t xml:space="preserve">1 adult </t>
  </si>
  <si>
    <t>cvtrainer@gmail.com</t>
  </si>
  <si>
    <t>Gladstone Fernandez</t>
  </si>
  <si>
    <t>+91 44 9840781107</t>
  </si>
  <si>
    <t>gladstonefernandez@gmail.com</t>
  </si>
  <si>
    <t>Fabiola Vieyra</t>
  </si>
  <si>
    <t>+91 44 9941486823</t>
  </si>
  <si>
    <t>fabiolafndz@gmail.com</t>
  </si>
  <si>
    <t>9444647283+91</t>
  </si>
  <si>
    <t>Dean Jude lippert</t>
  </si>
  <si>
    <t>044/91/9841679720</t>
  </si>
  <si>
    <t xml:space="preserve">Non veg </t>
  </si>
  <si>
    <t>Deanjl2707@gmail.com</t>
  </si>
  <si>
    <t xml:space="preserve">Francina I </t>
  </si>
  <si>
    <t>+919940672001</t>
  </si>
  <si>
    <t>1 adult 1 kid</t>
  </si>
  <si>
    <t>sara.thasleem@rediffmail.com</t>
  </si>
  <si>
    <t>Ebenezer Paul</t>
  </si>
  <si>
    <t>ebbygrp@hotmail.com</t>
  </si>
  <si>
    <t xml:space="preserve">Australia </t>
  </si>
  <si>
    <t xml:space="preserve">A. S. Ishaq </t>
  </si>
  <si>
    <t xml:space="preserve">Nil </t>
  </si>
  <si>
    <t xml:space="preserve">Veg. </t>
  </si>
  <si>
    <t xml:space="preserve">Ishaqas1963@gmail.com </t>
  </si>
  <si>
    <t xml:space="preserve">Chennai.. </t>
  </si>
  <si>
    <t>Andrew Fernandez</t>
  </si>
  <si>
    <t>91-0424996447</t>
  </si>
  <si>
    <t>andrewfernandez64@hotmail.com</t>
  </si>
  <si>
    <t>Australia Sydney</t>
  </si>
  <si>
    <t>Shabbir Hussain</t>
  </si>
  <si>
    <t>+919841190514</t>
  </si>
  <si>
    <t>abumajid@gmail.com</t>
  </si>
  <si>
    <t xml:space="preserve">C.. R. Suresh Kumar </t>
  </si>
  <si>
    <t>91-44-9962513548</t>
  </si>
  <si>
    <t>.no</t>
  </si>
  <si>
    <t>kumarsurrsh00755@gmaiillk</t>
  </si>
  <si>
    <t xml:space="preserve">Bobby sharma </t>
  </si>
  <si>
    <t>91 9840795966</t>
  </si>
  <si>
    <t>bs70milo@gmail.com</t>
  </si>
  <si>
    <t xml:space="preserve">Munir Alli Khan </t>
  </si>
  <si>
    <t xml:space="preserve">094432 27862 </t>
  </si>
  <si>
    <t xml:space="preserve">muniralikhan@gmail.com </t>
  </si>
  <si>
    <t>India, Hosur</t>
  </si>
  <si>
    <t xml:space="preserve">K.GODLY THEOPHIL </t>
  </si>
  <si>
    <t>+918807949414</t>
  </si>
  <si>
    <t xml:space="preserve">godly.julie@gmail.com </t>
  </si>
  <si>
    <t xml:space="preserve">Australia, Sydney </t>
  </si>
  <si>
    <t xml:space="preserve">Sheba Sam </t>
  </si>
  <si>
    <t>Daphne Fonceca (Jesson)</t>
  </si>
  <si>
    <t>+919962334386</t>
  </si>
  <si>
    <t>daphnefonceca@yahoo.com</t>
  </si>
  <si>
    <t>Mohammad yousouf adil</t>
  </si>
  <si>
    <t>+919962078637</t>
  </si>
  <si>
    <t>admin@modernpartitions.com</t>
  </si>
  <si>
    <t>lndia,  Chennai</t>
  </si>
  <si>
    <t>Francis Muthiah</t>
  </si>
  <si>
    <t>+919043995073</t>
  </si>
  <si>
    <t>non veg</t>
  </si>
  <si>
    <t>francmuthu@gmail.com</t>
  </si>
  <si>
    <t>inda,chennai</t>
  </si>
  <si>
    <t>Dawn Dayashanker</t>
  </si>
  <si>
    <t>+91 9176693660</t>
  </si>
  <si>
    <t>Dawn.dayashanker@gmail.com</t>
  </si>
  <si>
    <t>Chennai, India.</t>
  </si>
  <si>
    <t>RA. ANANDH</t>
  </si>
  <si>
    <t>+91 9840723311</t>
  </si>
  <si>
    <t>Adult = 1</t>
  </si>
  <si>
    <t>ra90091@gmail.com</t>
  </si>
  <si>
    <t>+919940197697</t>
  </si>
  <si>
    <t>Non- Veg</t>
  </si>
  <si>
    <t>Charles@gmail.com</t>
  </si>
  <si>
    <t>Sherley Williams</t>
  </si>
  <si>
    <t>Charles Suresh</t>
  </si>
  <si>
    <t>Mohankumar B</t>
  </si>
  <si>
    <t>movith@gmail.com</t>
  </si>
  <si>
    <t>Hosur</t>
  </si>
  <si>
    <t>P. Hamenth Kumar</t>
  </si>
  <si>
    <t>camlinart@gmail.com</t>
  </si>
  <si>
    <t>P. Mahendra Kumar</t>
  </si>
  <si>
    <t>Usa</t>
  </si>
  <si>
    <t>P. Yeshwanth Kumar</t>
  </si>
  <si>
    <t>yeshwanth67@googlemail.com</t>
  </si>
  <si>
    <t>Qatar</t>
  </si>
  <si>
    <t>Dinesh Kumar Purushothaman</t>
  </si>
  <si>
    <t>dadson98@gmail.com</t>
  </si>
  <si>
    <t>M Hemamalini</t>
  </si>
  <si>
    <t>1Adult 1child 11 years</t>
  </si>
  <si>
    <t>madhupranav @g mail com</t>
  </si>
  <si>
    <t>City chennai</t>
  </si>
  <si>
    <t xml:space="preserve">M Hemamalini </t>
  </si>
  <si>
    <t>1Adult 1 child 11 years</t>
  </si>
  <si>
    <t>madhupranav007@g mail com</t>
  </si>
  <si>
    <t>Chennai city</t>
  </si>
  <si>
    <t>C R Suresh</t>
  </si>
  <si>
    <t>Non_Veg</t>
  </si>
  <si>
    <t>saidada4734@ Gmail.com</t>
  </si>
  <si>
    <t>CR Suresh</t>
  </si>
  <si>
    <t>Sangeetha</t>
  </si>
  <si>
    <t>Sangeeponnu@gmail.com</t>
  </si>
  <si>
    <t>Kerala</t>
  </si>
  <si>
    <t>Mohan Narvekar</t>
  </si>
  <si>
    <t>mohan.s.narvekar@gmail.com</t>
  </si>
  <si>
    <t>Bengaluru</t>
  </si>
  <si>
    <t>DESMOND LEONARD</t>
  </si>
  <si>
    <t>lnard809@gmail.com</t>
  </si>
  <si>
    <t>JACQUELINE SURESH</t>
  </si>
  <si>
    <t>Threee Adults</t>
  </si>
  <si>
    <t>Three Non Vegetarian</t>
  </si>
  <si>
    <t>sureshjacob2@gmail.com</t>
  </si>
  <si>
    <t>Jacob Suresh</t>
  </si>
  <si>
    <t>Two adults</t>
  </si>
  <si>
    <t xml:space="preserve">Two non vegetarians </t>
  </si>
  <si>
    <t>EbenezerManoj Richard</t>
  </si>
  <si>
    <t xml:space="preserve">only self </t>
  </si>
  <si>
    <t>manojrichard2003@yahoo.co.in</t>
  </si>
  <si>
    <t>Faheem Ahmed</t>
  </si>
  <si>
    <t>+919840031390</t>
  </si>
  <si>
    <t>faheems@gmail.com</t>
  </si>
  <si>
    <t>Balaji MN</t>
  </si>
  <si>
    <t>Mnbalaji@gmail.com</t>
  </si>
  <si>
    <t>Howard Lazaro</t>
  </si>
  <si>
    <t>howardlazaro2014@hotmail.com</t>
  </si>
  <si>
    <t>R.Rajkumar</t>
  </si>
  <si>
    <t>Three Adults</t>
  </si>
  <si>
    <t>One Non-Veg, Two Veg</t>
  </si>
  <si>
    <t>sunaraj@gmail.com</t>
  </si>
  <si>
    <t>Rajkumar Immanuel</t>
  </si>
  <si>
    <t>+971508231224</t>
  </si>
  <si>
    <t>1Adult</t>
  </si>
  <si>
    <t xml:space="preserve">Non Veg </t>
  </si>
  <si>
    <t>rajkumar21@gmail.com</t>
  </si>
  <si>
    <t xml:space="preserve">United Arab Emirates, Abu Dhabi  </t>
  </si>
  <si>
    <t>Steven caster@gmail.com</t>
  </si>
  <si>
    <t>B Shiv kumaf</t>
  </si>
  <si>
    <t>S F Thasnim Banu</t>
  </si>
  <si>
    <t>One adult. One kid (below 12)</t>
  </si>
  <si>
    <t>Devaraj</t>
  </si>
  <si>
    <t>1 adult 2 kids below 12</t>
  </si>
  <si>
    <t>designerfouzia@gmail.com</t>
  </si>
  <si>
    <t>Hoori</t>
  </si>
  <si>
    <t>hoorimk59@gmail.com</t>
  </si>
  <si>
    <t>Haribhaskar</t>
  </si>
  <si>
    <t>Haribhaskar.m@gmail.com</t>
  </si>
  <si>
    <t>Sandrasureshkumar</t>
  </si>
  <si>
    <t xml:space="preserve">4 members </t>
  </si>
  <si>
    <t>Sandrasureshkumar 2017@gmail. Com</t>
  </si>
  <si>
    <t xml:space="preserve">Kodambakkam </t>
  </si>
  <si>
    <t>K.Suchetha Pani</t>
  </si>
  <si>
    <t>suchethapani@gmail.com</t>
  </si>
  <si>
    <t>M jayanthi</t>
  </si>
  <si>
    <t>M Jayanthi</t>
  </si>
  <si>
    <t>Gowthamsainadhreddy</t>
  </si>
  <si>
    <t>yes</t>
  </si>
  <si>
    <t>gowthamsainadh44@gmail.com</t>
  </si>
  <si>
    <t>T Jacob Cherian</t>
  </si>
  <si>
    <t>jacobtjcheri@yahoo.com</t>
  </si>
  <si>
    <t>Tharamani,Chennai</t>
  </si>
  <si>
    <t>K.Suresh Babu</t>
  </si>
  <si>
    <t>sureshbabuadvocate@gmail.com</t>
  </si>
  <si>
    <t>C7, Adhisri, No.14 &amp; 16, Kothari Road, Nungambakkam, Chennai 600034</t>
  </si>
  <si>
    <t>Vasuki</t>
  </si>
  <si>
    <t xml:space="preserve">vasukiravi6@yahoo.com </t>
  </si>
  <si>
    <t>Singaravelu</t>
  </si>
  <si>
    <t xml:space="preserve">Singain2k@yahoo.com </t>
  </si>
  <si>
    <t>Azeezur Rahman Sharif</t>
  </si>
  <si>
    <t>azeezmars@gmail.com</t>
  </si>
  <si>
    <t>Mustafa</t>
  </si>
  <si>
    <t>mail.ssmmustafa@gmail.com</t>
  </si>
  <si>
    <t xml:space="preserve">Vijayalakshmi Balasundaram </t>
  </si>
  <si>
    <t>Vijibalasundaram@gmail.com</t>
  </si>
  <si>
    <t>SRIRAM ANNAM</t>
  </si>
  <si>
    <t>THREE ADULTS</t>
  </si>
  <si>
    <t>PURE VEG</t>
  </si>
  <si>
    <t>Abdus Saleem</t>
  </si>
  <si>
    <t>saleem@csrglobal.in</t>
  </si>
  <si>
    <t>Hyderabad</t>
  </si>
  <si>
    <t>B.Indra</t>
  </si>
  <si>
    <t>2 adults and 1 kid</t>
  </si>
  <si>
    <t>2 nonveg and 1 veg</t>
  </si>
  <si>
    <t>vicky.pinky.ib@gmail.com</t>
  </si>
  <si>
    <t>Christopher Jeyasingh</t>
  </si>
  <si>
    <t>Christopherjeyasingh.23@gmail.com</t>
  </si>
  <si>
    <t>Reji Sam</t>
  </si>
  <si>
    <t>ebbysam27@gmail.com</t>
  </si>
  <si>
    <t>Rajvi Praveen</t>
  </si>
  <si>
    <t>rajvipraveen@gmail.com</t>
  </si>
  <si>
    <t>Lydia Arthur</t>
  </si>
  <si>
    <t>arthurclaudius@gmail.com</t>
  </si>
  <si>
    <t>Smiles Ratnaraj</t>
  </si>
  <si>
    <t>jsmilesr@gmail.com</t>
  </si>
  <si>
    <t>Krishna srinivas</t>
  </si>
  <si>
    <t>sricrishna12345@gmail.com</t>
  </si>
  <si>
    <t>Srinivasan s</t>
  </si>
  <si>
    <t>Non - veg</t>
  </si>
  <si>
    <t>hi2srinivasanselvrajan@gmail.com</t>
  </si>
  <si>
    <t>Premkumar</t>
  </si>
  <si>
    <t>premkmr@yahoo.com</t>
  </si>
  <si>
    <t>Pune</t>
  </si>
  <si>
    <t>3 adults 4 kids</t>
  </si>
  <si>
    <t xml:space="preserve">Andrea Ramnath </t>
  </si>
  <si>
    <t xml:space="preserve">Yes </t>
  </si>
  <si>
    <t>nithy_75@yahoo.com</t>
  </si>
  <si>
    <t xml:space="preserve">Choolai.,Chennai </t>
  </si>
  <si>
    <t>P Ravindran</t>
  </si>
  <si>
    <t>pravindran27</t>
  </si>
  <si>
    <t>Shekar Chittibabu</t>
  </si>
  <si>
    <t>shekar410@hotmail.com</t>
  </si>
  <si>
    <t>4004 167th PL SE, Bothell, WA 98012. USA.</t>
  </si>
  <si>
    <t>Mir Taqui Ali</t>
  </si>
  <si>
    <t>Mirali48@gmail.com</t>
  </si>
  <si>
    <t>Hyderabad, Telangana</t>
  </si>
  <si>
    <t>R.Sujatha</t>
  </si>
  <si>
    <t>1 (One)</t>
  </si>
  <si>
    <t>sujatha1968@gmail.com</t>
  </si>
  <si>
    <t>Syed Muthar Hussainy</t>
  </si>
  <si>
    <t>hussainy74@rediffmail.com</t>
  </si>
  <si>
    <t>Afroz</t>
  </si>
  <si>
    <t>Ahmed.afroze@ymail.com</t>
  </si>
  <si>
    <t>Lakshmi lokeshwaran</t>
  </si>
  <si>
    <t>3 adult 1 kid</t>
  </si>
  <si>
    <t>loki_laks@yahoo.co.in</t>
  </si>
  <si>
    <t>Thuraipakkam</t>
  </si>
  <si>
    <t>Unique Identification Number</t>
  </si>
  <si>
    <t>Mode of Entry</t>
  </si>
  <si>
    <t>Google Form</t>
  </si>
  <si>
    <t>Manual</t>
  </si>
  <si>
    <t>Mahmood Ali</t>
  </si>
  <si>
    <t>Mohamed Taqui</t>
  </si>
  <si>
    <t>Mohammed Yusuf</t>
  </si>
  <si>
    <t>NG Harikumar</t>
  </si>
  <si>
    <t>Sindu</t>
  </si>
  <si>
    <t>Hema (Deduction)</t>
  </si>
  <si>
    <t>Mirilla Austin (Church Committee Member)</t>
  </si>
  <si>
    <t>Daniel Austin</t>
  </si>
  <si>
    <t>Jarryd Austin</t>
  </si>
  <si>
    <t>Davine Charles</t>
  </si>
  <si>
    <t>Tanis Coyne</t>
  </si>
  <si>
    <t>Felicity Joseph</t>
  </si>
  <si>
    <t>G.Ravindrababu</t>
  </si>
  <si>
    <t>N.Ravindranath</t>
  </si>
  <si>
    <t>Sheela</t>
  </si>
  <si>
    <t>Gladstone West</t>
  </si>
  <si>
    <t>Kevin William Albert</t>
  </si>
  <si>
    <t>Geetha R</t>
  </si>
  <si>
    <t>I. Zehara Jaben</t>
  </si>
  <si>
    <t>Evelyn Mercilyn</t>
  </si>
  <si>
    <t>Eileen James</t>
  </si>
  <si>
    <t>Shakeel Ahmed</t>
  </si>
  <si>
    <t>Davind Lane</t>
  </si>
  <si>
    <t>K Bhaskar</t>
  </si>
  <si>
    <t>CR Kamalashekar</t>
  </si>
  <si>
    <t>chattel786@yahoo.com</t>
  </si>
  <si>
    <t>Chennai, Royapettah</t>
  </si>
  <si>
    <t>Chennai, Gopalapuram</t>
  </si>
  <si>
    <t>Chennai, Nungambakkam</t>
  </si>
  <si>
    <t>Veg / Non Veg</t>
  </si>
  <si>
    <t>nghari@gmail.com</t>
  </si>
  <si>
    <t>Chennai, Chindaripet</t>
  </si>
  <si>
    <t>Chennai, Ambattur</t>
  </si>
  <si>
    <t>Chennai, Triplicane</t>
  </si>
  <si>
    <t>Paid</t>
  </si>
  <si>
    <t>Adults</t>
  </si>
  <si>
    <t>Kids</t>
  </si>
  <si>
    <t>Date of Payment</t>
  </si>
  <si>
    <t>Event Entry fee</t>
  </si>
  <si>
    <t>Membership Registration</t>
  </si>
  <si>
    <t>Name lookup</t>
  </si>
  <si>
    <t>21/11/2017</t>
  </si>
  <si>
    <t>22/11/2017</t>
  </si>
  <si>
    <t>23/11/2017</t>
  </si>
  <si>
    <t>24/11/2017</t>
  </si>
  <si>
    <t xml:space="preserve">    </t>
  </si>
  <si>
    <t>Nizam</t>
  </si>
  <si>
    <t>Hari Balaji</t>
  </si>
  <si>
    <t>Victor</t>
  </si>
  <si>
    <t>Satish</t>
  </si>
  <si>
    <t>Srinivasan</t>
  </si>
  <si>
    <t>Vishnu</t>
  </si>
  <si>
    <t>Sadeepa</t>
  </si>
  <si>
    <t>Vijayan</t>
  </si>
  <si>
    <t>Mohi</t>
  </si>
  <si>
    <t>Sabriz</t>
  </si>
  <si>
    <t>Ashok</t>
  </si>
  <si>
    <t>Joy</t>
  </si>
  <si>
    <t>Candida</t>
  </si>
  <si>
    <t>Ghouse</t>
  </si>
  <si>
    <t>Asir</t>
  </si>
  <si>
    <t>Vasanth</t>
  </si>
  <si>
    <t>Selvam</t>
  </si>
  <si>
    <t>Bella</t>
  </si>
  <si>
    <t>Anand</t>
  </si>
  <si>
    <t>Om Prakash</t>
  </si>
  <si>
    <t>Aslam</t>
  </si>
  <si>
    <t>M.Senthil Kumar</t>
  </si>
  <si>
    <t>Subair</t>
  </si>
  <si>
    <t>Sunil Narvekar</t>
  </si>
  <si>
    <t>16/11/2017</t>
  </si>
  <si>
    <t>18/11/2017</t>
  </si>
  <si>
    <t>15/11/2017</t>
  </si>
  <si>
    <t>13/11/2017</t>
  </si>
  <si>
    <t>Peter Daniel</t>
  </si>
  <si>
    <t>Anne</t>
  </si>
  <si>
    <t>Sheeba</t>
  </si>
  <si>
    <t>David Livingstone</t>
  </si>
  <si>
    <t>Venkatramani</t>
  </si>
  <si>
    <t>Crystal White</t>
  </si>
  <si>
    <t>N.G.Jayakumar</t>
  </si>
  <si>
    <t>M.Kumar</t>
  </si>
  <si>
    <t>R.Prasanna</t>
  </si>
  <si>
    <t>P.D. Rangu</t>
  </si>
  <si>
    <t>K.G.Jayakumar</t>
  </si>
  <si>
    <t>25/11/2017</t>
  </si>
  <si>
    <t>Kuldeep Kumar</t>
  </si>
  <si>
    <t>Suin Kamer</t>
  </si>
  <si>
    <t>Sheila</t>
  </si>
  <si>
    <t>Janaki Ramanan</t>
  </si>
  <si>
    <t>I. Mohammed Hashim</t>
  </si>
  <si>
    <t>I. Mohammed Salim</t>
  </si>
  <si>
    <t>D. Manikanda Ramesh</t>
  </si>
  <si>
    <t>Mrs. Reigo</t>
  </si>
  <si>
    <t>Mr. Bell Samuel</t>
  </si>
  <si>
    <t>Mr. K.G.Prem Kumar</t>
  </si>
  <si>
    <t>Mr. Ravi Joseph</t>
  </si>
  <si>
    <t>Mrs. Lavanya Veena</t>
  </si>
  <si>
    <t>Juayathullah Sheriff</t>
  </si>
  <si>
    <t>AR Sheriff</t>
  </si>
  <si>
    <t>Mukesh Mehta</t>
  </si>
  <si>
    <t>Dr. Saktheeswari</t>
  </si>
  <si>
    <t>Mrs. Shahin</t>
  </si>
  <si>
    <t>Non Veg 1, Veg 1</t>
  </si>
  <si>
    <t>Predish Kumar</t>
  </si>
  <si>
    <t>Sujith</t>
  </si>
  <si>
    <t>Vasantha Ignatius</t>
  </si>
  <si>
    <t>Shantha Kumari Ignatius</t>
  </si>
  <si>
    <t>Rachel Kenneth</t>
  </si>
  <si>
    <t>Anand Selvamani</t>
  </si>
  <si>
    <t>Signature</t>
  </si>
  <si>
    <t>Text Message</t>
  </si>
  <si>
    <t xml:space="preserve"> 7395-981070</t>
  </si>
  <si>
    <t>a</t>
  </si>
  <si>
    <t>Message Sent</t>
  </si>
  <si>
    <t>Mr. K. R Saikumar</t>
  </si>
  <si>
    <t>Mr. P. N Murali</t>
  </si>
  <si>
    <t>Mr. C. S Rajan</t>
  </si>
  <si>
    <t>Ms. T. Padmini</t>
  </si>
  <si>
    <t>Mr. Rajkumar</t>
  </si>
  <si>
    <t>Ms. Ruth Ravinder</t>
  </si>
  <si>
    <t>Mr. Paul jacob</t>
  </si>
  <si>
    <t>Mrs. Esther Thompson</t>
  </si>
  <si>
    <t>mrs Merlyn Thompson</t>
  </si>
  <si>
    <t>Ms. Paulette Peters</t>
  </si>
  <si>
    <t>Mrs. Andrea Amudharajan</t>
  </si>
  <si>
    <t>Mr. M. Ravikumar</t>
  </si>
  <si>
    <t>Mr. Brian Taylor</t>
  </si>
  <si>
    <t>Mr. Abel</t>
  </si>
  <si>
    <t>Dr. Hemant</t>
  </si>
  <si>
    <t>Mr. Ananthapadmanabhan</t>
  </si>
  <si>
    <t>Mr Ramesh</t>
  </si>
  <si>
    <t>Ms Fouzia</t>
  </si>
  <si>
    <t>David Lane</t>
  </si>
  <si>
    <t>Ananthananaryan</t>
  </si>
  <si>
    <t>Jaiganesh</t>
  </si>
  <si>
    <t>June fernandez</t>
  </si>
  <si>
    <t>Lyon Manasseh</t>
  </si>
  <si>
    <t>Mr. Asirvatham</t>
  </si>
  <si>
    <t>Mr. R. S. Anbu</t>
  </si>
  <si>
    <t>veg</t>
  </si>
  <si>
    <t>additional contribution of 5000 via cheque</t>
  </si>
  <si>
    <t>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</si>
</sst>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Webdings"/>
      <family val="1"/>
      <charset val="2"/>
    </font>
    <font>
      <sz val="9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1" applyAlignment="1"/>
    <xf numFmtId="14" fontId="0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/>
    <xf numFmtId="0" fontId="6" fillId="0" borderId="0" xfId="0" applyFont="1" applyAlignment="1"/>
    <xf numFmtId="0" fontId="0" fillId="0" borderId="0" xfId="0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wrapText="1"/>
    </xf>
    <xf numFmtId="164" fontId="8" fillId="0" borderId="0" xfId="0" applyNumberFormat="1" applyFont="1" applyAlignment="1"/>
    <xf numFmtId="0" fontId="1" fillId="3" borderId="0" xfId="0" applyFont="1" applyFill="1" applyAlignment="1"/>
    <xf numFmtId="164" fontId="1" fillId="3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895350</xdr:colOff>
      <xdr:row>52</xdr:row>
      <xdr:rowOff>114300</xdr:rowOff>
    </xdr:to>
    <xdr:sp macro="" textlink="">
      <xdr:nvSpPr>
        <xdr:cNvPr id="1028" name="Rectangle 4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2" name="AutoShape 4"/>
        <xdr:cNvSpPr>
          <a:spLocks noChangeArrowheads="1"/>
        </xdr:cNvSpPr>
      </xdr:nvSpPr>
      <xdr:spPr bwMode="auto">
        <a:xfrm>
          <a:off x="0" y="0"/>
          <a:ext cx="8382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3" name="AutoShape 4"/>
        <xdr:cNvSpPr>
          <a:spLocks noChangeArrowheads="1"/>
        </xdr:cNvSpPr>
      </xdr:nvSpPr>
      <xdr:spPr bwMode="auto">
        <a:xfrm>
          <a:off x="0" y="0"/>
          <a:ext cx="8382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4" name="AutoShape 4"/>
        <xdr:cNvSpPr>
          <a:spLocks noChangeArrowheads="1"/>
        </xdr:cNvSpPr>
      </xdr:nvSpPr>
      <xdr:spPr bwMode="auto">
        <a:xfrm>
          <a:off x="0" y="0"/>
          <a:ext cx="8382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0" y="0"/>
          <a:ext cx="8382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6" name="AutoShape 4"/>
        <xdr:cNvSpPr>
          <a:spLocks noChangeArrowheads="1"/>
        </xdr:cNvSpPr>
      </xdr:nvSpPr>
      <xdr:spPr bwMode="auto">
        <a:xfrm>
          <a:off x="0" y="0"/>
          <a:ext cx="8382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2052" name="AutoShape 4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2" name="AutoShape 4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3" name="AutoShape 4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4" name="AutoShape 4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3075" name="AutoShape 3"/>
        <xdr:cNvSpPr>
          <a:spLocks noChangeArrowheads="1"/>
        </xdr:cNvSpPr>
      </xdr:nvSpPr>
      <xdr:spPr bwMode="auto">
        <a:xfrm>
          <a:off x="0" y="0"/>
          <a:ext cx="6924675" cy="5667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6924675" cy="56673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6924675" cy="5667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0" y="0"/>
          <a:ext cx="6924675" cy="8534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5" name="AutoShape 3"/>
        <xdr:cNvSpPr>
          <a:spLocks noChangeArrowheads="1"/>
        </xdr:cNvSpPr>
      </xdr:nvSpPr>
      <xdr:spPr bwMode="auto">
        <a:xfrm>
          <a:off x="0" y="0"/>
          <a:ext cx="6924675" cy="1133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4099" name="AutoShape 3"/>
        <xdr:cNvSpPr>
          <a:spLocks noChangeArrowheads="1"/>
        </xdr:cNvSpPr>
      </xdr:nvSpPr>
      <xdr:spPr bwMode="auto">
        <a:xfrm>
          <a:off x="0" y="0"/>
          <a:ext cx="4886325" cy="950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4886325" cy="94869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4886325" cy="94869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0" y="0"/>
          <a:ext cx="4886325" cy="94869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895350</xdr:colOff>
      <xdr:row>52</xdr:row>
      <xdr:rowOff>114300</xdr:rowOff>
    </xdr:to>
    <xdr:sp macro="" textlink="">
      <xdr:nvSpPr>
        <xdr:cNvPr id="5" name="AutoShape 3"/>
        <xdr:cNvSpPr>
          <a:spLocks noChangeArrowheads="1"/>
        </xdr:cNvSpPr>
      </xdr:nvSpPr>
      <xdr:spPr bwMode="auto">
        <a:xfrm>
          <a:off x="0" y="0"/>
          <a:ext cx="4886325" cy="94869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nghari@gmail.com" TargetMode="External"/><Relationship Id="rId1" Type="http://schemas.openxmlformats.org/officeDocument/2006/relationships/hyperlink" Target="mailto:chattel786@yahoo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nghari@gmail.com" TargetMode="External"/><Relationship Id="rId1" Type="http://schemas.openxmlformats.org/officeDocument/2006/relationships/hyperlink" Target="mailto:chattel786@yahoo.com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ghari@gmail.com" TargetMode="External"/><Relationship Id="rId1" Type="http://schemas.openxmlformats.org/officeDocument/2006/relationships/hyperlink" Target="mailto:chattel786@yahoo.com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93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 x14ac:dyDescent="0.2"/>
  <cols>
    <col min="2" max="3" width="21.5703125" customWidth="1"/>
    <col min="4" max="4" width="11.5703125" customWidth="1"/>
    <col min="5" max="19" width="21.5703125" customWidth="1"/>
  </cols>
  <sheetData>
    <row r="1" spans="2:13" ht="15.75" customHeight="1" x14ac:dyDescent="0.2">
      <c r="B1" t="s">
        <v>0</v>
      </c>
      <c r="C1" s="1" t="s">
        <v>1</v>
      </c>
      <c r="D1" s="1" t="s">
        <v>2</v>
      </c>
      <c r="E1" s="1" t="s">
        <v>3</v>
      </c>
      <c r="F1" t="s">
        <v>4</v>
      </c>
      <c r="G1" s="1" t="s">
        <v>5</v>
      </c>
      <c r="H1" s="1" t="s">
        <v>6</v>
      </c>
      <c r="I1" t="s">
        <v>7</v>
      </c>
      <c r="J1" t="s">
        <v>8</v>
      </c>
      <c r="K1" s="1" t="s">
        <v>9</v>
      </c>
      <c r="L1" s="1" t="s">
        <v>10</v>
      </c>
      <c r="M1" s="1"/>
    </row>
    <row r="2" spans="2:13" ht="15.75" customHeight="1" x14ac:dyDescent="0.2">
      <c r="B2" s="2">
        <v>43047.751034525463</v>
      </c>
      <c r="C2" s="1" t="s">
        <v>11</v>
      </c>
      <c r="D2" s="1">
        <v>1968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  <c r="J2" s="1" t="s">
        <v>13</v>
      </c>
      <c r="K2" s="1" t="s">
        <v>16</v>
      </c>
      <c r="L2" s="1" t="s">
        <v>17</v>
      </c>
      <c r="M2" s="3"/>
    </row>
    <row r="3" spans="2:13" ht="15.75" customHeight="1" x14ac:dyDescent="0.2">
      <c r="B3" s="2">
        <v>43047.752563321759</v>
      </c>
      <c r="C3" s="1" t="s">
        <v>18</v>
      </c>
      <c r="D3" s="1">
        <v>1983</v>
      </c>
      <c r="E3" s="1" t="s">
        <v>19</v>
      </c>
      <c r="F3" s="1" t="s">
        <v>13</v>
      </c>
      <c r="G3" s="1">
        <v>1</v>
      </c>
      <c r="H3" s="1" t="s">
        <v>20</v>
      </c>
      <c r="I3" s="1" t="s">
        <v>13</v>
      </c>
      <c r="J3" s="1" t="s">
        <v>13</v>
      </c>
      <c r="K3" s="1" t="s">
        <v>21</v>
      </c>
      <c r="L3" s="1" t="s">
        <v>22</v>
      </c>
      <c r="M3" s="3"/>
    </row>
    <row r="4" spans="2:13" ht="15.75" customHeight="1" x14ac:dyDescent="0.2">
      <c r="B4" s="2">
        <v>43047.75297538194</v>
      </c>
      <c r="C4" s="1" t="s">
        <v>23</v>
      </c>
      <c r="D4" s="1">
        <v>1966</v>
      </c>
      <c r="E4" s="1" t="s">
        <v>24</v>
      </c>
      <c r="F4" s="1" t="s">
        <v>25</v>
      </c>
      <c r="G4" s="1" t="s">
        <v>26</v>
      </c>
      <c r="H4" s="1" t="s">
        <v>26</v>
      </c>
      <c r="I4" s="1" t="s">
        <v>13</v>
      </c>
      <c r="J4" s="1" t="s">
        <v>25</v>
      </c>
      <c r="K4" s="1" t="s">
        <v>27</v>
      </c>
      <c r="L4" s="1" t="s">
        <v>28</v>
      </c>
      <c r="M4" s="3"/>
    </row>
    <row r="5" spans="2:13" ht="15.75" customHeight="1" x14ac:dyDescent="0.2">
      <c r="B5" s="2">
        <v>43047.755484039357</v>
      </c>
      <c r="C5" s="1" t="s">
        <v>29</v>
      </c>
      <c r="D5" s="1">
        <v>1988</v>
      </c>
      <c r="E5" s="1">
        <v>971502471199</v>
      </c>
      <c r="F5" s="1" t="s">
        <v>13</v>
      </c>
      <c r="G5" s="1" t="s">
        <v>30</v>
      </c>
      <c r="H5" s="1" t="s">
        <v>15</v>
      </c>
      <c r="I5" s="1" t="s">
        <v>13</v>
      </c>
      <c r="J5" s="1" t="s">
        <v>13</v>
      </c>
      <c r="K5" s="1" t="s">
        <v>31</v>
      </c>
      <c r="L5" s="1" t="s">
        <v>32</v>
      </c>
      <c r="M5" s="3"/>
    </row>
    <row r="6" spans="2:13" ht="15.75" customHeight="1" x14ac:dyDescent="0.2">
      <c r="B6" s="2">
        <v>43047.757646064812</v>
      </c>
      <c r="C6" s="1" t="s">
        <v>33</v>
      </c>
      <c r="D6" s="1">
        <v>1968</v>
      </c>
      <c r="E6" s="1" t="s">
        <v>34</v>
      </c>
      <c r="F6" s="1" t="s">
        <v>13</v>
      </c>
      <c r="G6" s="1">
        <v>2</v>
      </c>
      <c r="H6" s="1" t="s">
        <v>35</v>
      </c>
      <c r="I6" s="1" t="s">
        <v>13</v>
      </c>
      <c r="J6" s="1" t="s">
        <v>13</v>
      </c>
      <c r="K6" s="1" t="s">
        <v>36</v>
      </c>
      <c r="L6" s="1" t="s">
        <v>37</v>
      </c>
      <c r="M6" s="3"/>
    </row>
    <row r="7" spans="2:13" ht="15.75" customHeight="1" x14ac:dyDescent="0.2">
      <c r="B7" s="2">
        <v>43047.758797615737</v>
      </c>
      <c r="C7" s="1" t="s">
        <v>38</v>
      </c>
      <c r="D7" s="1">
        <v>1992</v>
      </c>
      <c r="E7" s="1" t="s">
        <v>39</v>
      </c>
      <c r="F7" s="1" t="s">
        <v>13</v>
      </c>
      <c r="G7" s="1" t="s">
        <v>40</v>
      </c>
      <c r="H7" s="1" t="s">
        <v>41</v>
      </c>
      <c r="I7" s="1" t="s">
        <v>13</v>
      </c>
      <c r="J7" s="1" t="s">
        <v>13</v>
      </c>
      <c r="K7" s="1" t="s">
        <v>42</v>
      </c>
      <c r="L7" s="1" t="s">
        <v>17</v>
      </c>
      <c r="M7" s="3"/>
    </row>
    <row r="8" spans="2:13" ht="15.75" customHeight="1" x14ac:dyDescent="0.2">
      <c r="B8" s="2">
        <v>43047.760355937498</v>
      </c>
      <c r="C8" s="1" t="s">
        <v>43</v>
      </c>
      <c r="D8" s="1">
        <v>1984</v>
      </c>
      <c r="E8" s="1">
        <v>447891168678</v>
      </c>
      <c r="F8" s="1" t="s">
        <v>25</v>
      </c>
      <c r="G8" s="1" t="s">
        <v>44</v>
      </c>
      <c r="H8" s="1" t="s">
        <v>45</v>
      </c>
      <c r="I8" s="1" t="s">
        <v>25</v>
      </c>
      <c r="J8" s="1" t="s">
        <v>25</v>
      </c>
      <c r="K8" s="1" t="s">
        <v>46</v>
      </c>
      <c r="L8" s="1" t="s">
        <v>47</v>
      </c>
      <c r="M8" s="3"/>
    </row>
    <row r="9" spans="2:13" ht="15.75" customHeight="1" x14ac:dyDescent="0.2">
      <c r="B9" s="2">
        <v>43047.760957268518</v>
      </c>
      <c r="C9" s="1" t="s">
        <v>48</v>
      </c>
      <c r="D9" s="1">
        <v>1990</v>
      </c>
      <c r="E9" s="1" t="s">
        <v>49</v>
      </c>
      <c r="F9" s="1" t="s">
        <v>25</v>
      </c>
      <c r="G9" s="1" t="s">
        <v>50</v>
      </c>
      <c r="H9" s="1" t="s">
        <v>50</v>
      </c>
      <c r="I9" s="1" t="s">
        <v>25</v>
      </c>
      <c r="J9" s="1" t="s">
        <v>13</v>
      </c>
      <c r="K9" s="1" t="s">
        <v>51</v>
      </c>
      <c r="L9" s="1" t="s">
        <v>52</v>
      </c>
      <c r="M9" s="3"/>
    </row>
    <row r="10" spans="2:13" ht="15.75" customHeight="1" x14ac:dyDescent="0.2">
      <c r="B10" s="2">
        <v>43047.762153113421</v>
      </c>
      <c r="C10" s="1" t="s">
        <v>53</v>
      </c>
      <c r="D10" s="1">
        <v>1992</v>
      </c>
      <c r="E10" s="1" t="s">
        <v>54</v>
      </c>
      <c r="F10" s="1" t="s">
        <v>13</v>
      </c>
      <c r="G10" s="1">
        <v>1</v>
      </c>
      <c r="H10" s="1" t="s">
        <v>41</v>
      </c>
      <c r="I10" s="1" t="s">
        <v>13</v>
      </c>
      <c r="J10" s="1" t="s">
        <v>25</v>
      </c>
      <c r="K10" s="1" t="s">
        <v>55</v>
      </c>
      <c r="L10" s="1" t="s">
        <v>17</v>
      </c>
      <c r="M10" s="3"/>
    </row>
    <row r="11" spans="2:13" ht="15.75" customHeight="1" x14ac:dyDescent="0.2">
      <c r="B11" s="2">
        <v>43047.763699016199</v>
      </c>
      <c r="C11" s="1" t="s">
        <v>56</v>
      </c>
      <c r="D11" s="1">
        <v>1988</v>
      </c>
      <c r="E11" s="1" t="s">
        <v>57</v>
      </c>
      <c r="F11" s="1" t="s">
        <v>13</v>
      </c>
      <c r="G11" s="1">
        <v>1</v>
      </c>
      <c r="H11" s="1" t="s">
        <v>41</v>
      </c>
      <c r="I11" s="1" t="s">
        <v>13</v>
      </c>
      <c r="J11" s="1" t="s">
        <v>13</v>
      </c>
      <c r="K11" s="1" t="s">
        <v>58</v>
      </c>
      <c r="L11" s="1" t="s">
        <v>59</v>
      </c>
      <c r="M11" s="3"/>
    </row>
    <row r="12" spans="2:13" ht="15.75" customHeight="1" x14ac:dyDescent="0.2">
      <c r="B12" s="2">
        <v>43047.765137303242</v>
      </c>
      <c r="C12" s="1" t="s">
        <v>60</v>
      </c>
      <c r="D12" s="1">
        <v>2009</v>
      </c>
      <c r="E12" s="1" t="s">
        <v>61</v>
      </c>
      <c r="F12" s="1" t="s">
        <v>13</v>
      </c>
      <c r="G12" s="1" t="s">
        <v>62</v>
      </c>
      <c r="H12" s="1" t="s">
        <v>15</v>
      </c>
      <c r="I12" s="1" t="s">
        <v>25</v>
      </c>
      <c r="J12" s="1" t="s">
        <v>13</v>
      </c>
      <c r="K12" s="1" t="s">
        <v>63</v>
      </c>
      <c r="L12" s="1" t="s">
        <v>17</v>
      </c>
      <c r="M12" s="3"/>
    </row>
    <row r="13" spans="2:13" ht="15.75" customHeight="1" x14ac:dyDescent="0.2">
      <c r="B13" s="2">
        <v>43047.771893831014</v>
      </c>
      <c r="C13" s="1" t="s">
        <v>64</v>
      </c>
      <c r="D13" s="1">
        <v>1980</v>
      </c>
      <c r="E13" s="1" t="s">
        <v>65</v>
      </c>
      <c r="F13" s="1" t="s">
        <v>13</v>
      </c>
      <c r="G13" s="1" t="s">
        <v>66</v>
      </c>
      <c r="H13" s="1" t="s">
        <v>67</v>
      </c>
      <c r="I13" s="1" t="s">
        <v>13</v>
      </c>
      <c r="J13" s="1" t="s">
        <v>13</v>
      </c>
      <c r="K13" s="1" t="s">
        <v>68</v>
      </c>
      <c r="L13" s="1" t="s">
        <v>69</v>
      </c>
      <c r="M13" s="3"/>
    </row>
    <row r="14" spans="2:13" ht="15.75" customHeight="1" x14ac:dyDescent="0.2">
      <c r="B14" s="2">
        <v>43047.774098229165</v>
      </c>
      <c r="C14" s="1" t="s">
        <v>70</v>
      </c>
      <c r="D14" s="1">
        <v>1995</v>
      </c>
      <c r="E14" s="1" t="s">
        <v>71</v>
      </c>
      <c r="F14" s="1" t="s">
        <v>13</v>
      </c>
      <c r="G14" s="1" t="s">
        <v>72</v>
      </c>
      <c r="H14" s="1" t="s">
        <v>35</v>
      </c>
      <c r="I14" s="1" t="s">
        <v>13</v>
      </c>
      <c r="J14" s="1" t="s">
        <v>13</v>
      </c>
      <c r="K14" s="1" t="s">
        <v>73</v>
      </c>
      <c r="L14" s="1" t="s">
        <v>59</v>
      </c>
      <c r="M14" s="3"/>
    </row>
    <row r="15" spans="2:13" ht="15.75" customHeight="1" x14ac:dyDescent="0.2">
      <c r="B15" s="2">
        <v>43047.791692152779</v>
      </c>
      <c r="C15" s="1" t="s">
        <v>74</v>
      </c>
      <c r="D15" s="1">
        <v>1966</v>
      </c>
      <c r="E15" s="1" t="s">
        <v>75</v>
      </c>
      <c r="F15" s="1" t="s">
        <v>25</v>
      </c>
      <c r="G15" s="1" t="s">
        <v>76</v>
      </c>
      <c r="H15" s="1" t="s">
        <v>76</v>
      </c>
      <c r="I15" s="1" t="s">
        <v>13</v>
      </c>
      <c r="J15" s="1" t="s">
        <v>13</v>
      </c>
      <c r="K15" s="1" t="s">
        <v>77</v>
      </c>
      <c r="L15" s="1" t="s">
        <v>78</v>
      </c>
      <c r="M15" s="3"/>
    </row>
    <row r="16" spans="2:13" ht="15.75" customHeight="1" x14ac:dyDescent="0.2">
      <c r="B16" s="2">
        <v>43047.797404212964</v>
      </c>
      <c r="C16" s="1" t="s">
        <v>79</v>
      </c>
      <c r="D16" s="1">
        <v>1972</v>
      </c>
      <c r="E16" s="1" t="s">
        <v>80</v>
      </c>
      <c r="F16" s="1" t="s">
        <v>13</v>
      </c>
      <c r="G16" s="1" t="s">
        <v>81</v>
      </c>
      <c r="H16" s="1" t="s">
        <v>82</v>
      </c>
      <c r="I16" s="1" t="s">
        <v>13</v>
      </c>
      <c r="J16" s="1" t="s">
        <v>13</v>
      </c>
      <c r="K16" s="1" t="s">
        <v>83</v>
      </c>
      <c r="L16" s="1" t="s">
        <v>84</v>
      </c>
      <c r="M16" s="3"/>
    </row>
    <row r="17" spans="2:13" ht="15.75" customHeight="1" x14ac:dyDescent="0.2">
      <c r="B17" s="2">
        <v>43047.799655358795</v>
      </c>
      <c r="C17" s="1" t="s">
        <v>85</v>
      </c>
      <c r="D17" s="1">
        <v>1969</v>
      </c>
      <c r="E17" s="1" t="s">
        <v>86</v>
      </c>
      <c r="F17" s="1" t="s">
        <v>13</v>
      </c>
      <c r="G17" s="1" t="s">
        <v>87</v>
      </c>
      <c r="H17" s="1" t="s">
        <v>20</v>
      </c>
      <c r="I17" s="1" t="s">
        <v>25</v>
      </c>
      <c r="J17" s="1" t="s">
        <v>25</v>
      </c>
      <c r="K17" s="1" t="s">
        <v>88</v>
      </c>
      <c r="L17" s="1" t="s">
        <v>89</v>
      </c>
      <c r="M17" s="3"/>
    </row>
    <row r="18" spans="2:13" ht="15.75" customHeight="1" x14ac:dyDescent="0.2">
      <c r="B18" s="2">
        <v>43047.802054189815</v>
      </c>
      <c r="C18" s="1" t="s">
        <v>90</v>
      </c>
      <c r="D18" s="1">
        <v>1972</v>
      </c>
      <c r="E18" s="1" t="s">
        <v>91</v>
      </c>
      <c r="F18" s="1" t="s">
        <v>13</v>
      </c>
      <c r="G18" s="1" t="s">
        <v>92</v>
      </c>
      <c r="H18" s="1" t="s">
        <v>15</v>
      </c>
      <c r="I18" s="1" t="s">
        <v>13</v>
      </c>
      <c r="J18" s="1" t="s">
        <v>13</v>
      </c>
      <c r="K18" s="1" t="s">
        <v>93</v>
      </c>
      <c r="L18" s="1" t="s">
        <v>94</v>
      </c>
      <c r="M18" s="3"/>
    </row>
    <row r="19" spans="2:13" ht="15.75" customHeight="1" x14ac:dyDescent="0.2">
      <c r="B19" s="2">
        <v>43047.811292893515</v>
      </c>
      <c r="C19" s="1" t="s">
        <v>95</v>
      </c>
      <c r="D19" s="1">
        <v>1978</v>
      </c>
      <c r="E19" s="1" t="s">
        <v>96</v>
      </c>
      <c r="F19" s="1" t="s">
        <v>25</v>
      </c>
      <c r="G19" s="1" t="s">
        <v>45</v>
      </c>
      <c r="H19" s="1" t="s">
        <v>97</v>
      </c>
      <c r="I19" s="1" t="s">
        <v>25</v>
      </c>
      <c r="J19" s="1" t="s">
        <v>25</v>
      </c>
      <c r="K19" s="1" t="s">
        <v>98</v>
      </c>
      <c r="L19" s="1" t="s">
        <v>17</v>
      </c>
      <c r="M19" s="3"/>
    </row>
    <row r="20" spans="2:13" ht="15.75" customHeight="1" x14ac:dyDescent="0.2">
      <c r="B20" s="2">
        <v>43047.814857291669</v>
      </c>
      <c r="C20" s="1" t="s">
        <v>99</v>
      </c>
      <c r="D20" s="1">
        <v>1968</v>
      </c>
      <c r="E20" s="1" t="s">
        <v>100</v>
      </c>
      <c r="F20" s="1" t="s">
        <v>13</v>
      </c>
      <c r="G20" s="1" t="s">
        <v>101</v>
      </c>
      <c r="H20" s="1" t="s">
        <v>15</v>
      </c>
      <c r="I20" s="1" t="s">
        <v>13</v>
      </c>
      <c r="J20" s="1" t="s">
        <v>13</v>
      </c>
      <c r="K20" s="1" t="s">
        <v>102</v>
      </c>
      <c r="L20" s="1" t="s">
        <v>103</v>
      </c>
      <c r="M20" s="3"/>
    </row>
    <row r="21" spans="2:13" ht="15.75" customHeight="1" x14ac:dyDescent="0.2">
      <c r="B21" s="2">
        <v>43047.839898657403</v>
      </c>
      <c r="C21" s="1" t="s">
        <v>104</v>
      </c>
      <c r="D21" s="1">
        <v>1971</v>
      </c>
      <c r="E21" s="1" t="s">
        <v>105</v>
      </c>
      <c r="F21" s="1" t="s">
        <v>13</v>
      </c>
      <c r="G21" s="1">
        <v>2</v>
      </c>
      <c r="H21" s="1" t="s">
        <v>15</v>
      </c>
      <c r="I21" s="1" t="s">
        <v>13</v>
      </c>
      <c r="J21" s="1" t="s">
        <v>13</v>
      </c>
      <c r="K21" s="1" t="s">
        <v>106</v>
      </c>
      <c r="L21" s="1" t="s">
        <v>107</v>
      </c>
      <c r="M21" s="3"/>
    </row>
    <row r="22" spans="2:13" ht="15.75" customHeight="1" x14ac:dyDescent="0.2">
      <c r="B22" s="2">
        <v>43047.841818807872</v>
      </c>
      <c r="C22" s="1" t="s">
        <v>108</v>
      </c>
      <c r="D22" s="1">
        <v>1974</v>
      </c>
      <c r="E22" s="1" t="s">
        <v>109</v>
      </c>
      <c r="F22" s="1" t="s">
        <v>13</v>
      </c>
      <c r="G22" s="1" t="s">
        <v>45</v>
      </c>
      <c r="H22" s="1" t="s">
        <v>110</v>
      </c>
      <c r="I22" s="1" t="s">
        <v>13</v>
      </c>
      <c r="J22" s="1" t="s">
        <v>13</v>
      </c>
      <c r="K22" s="1" t="s">
        <v>111</v>
      </c>
      <c r="L22" s="1" t="s">
        <v>112</v>
      </c>
      <c r="M22" s="3"/>
    </row>
    <row r="23" spans="2:13" ht="15.75" customHeight="1" x14ac:dyDescent="0.2">
      <c r="B23" s="2">
        <v>43047.845309988421</v>
      </c>
      <c r="C23" s="1" t="s">
        <v>113</v>
      </c>
      <c r="D23" s="1">
        <v>1971</v>
      </c>
      <c r="E23" s="1" t="s">
        <v>114</v>
      </c>
      <c r="F23" s="1" t="s">
        <v>13</v>
      </c>
      <c r="G23" s="1" t="s">
        <v>115</v>
      </c>
      <c r="H23" s="1" t="s">
        <v>20</v>
      </c>
      <c r="I23" s="1" t="s">
        <v>13</v>
      </c>
      <c r="J23" s="1" t="s">
        <v>13</v>
      </c>
      <c r="K23" s="1" t="s">
        <v>116</v>
      </c>
      <c r="L23" s="1" t="s">
        <v>17</v>
      </c>
      <c r="M23" s="3"/>
    </row>
    <row r="24" spans="2:13" ht="15.75" customHeight="1" x14ac:dyDescent="0.2">
      <c r="B24" s="2">
        <v>43047.84710407407</v>
      </c>
      <c r="C24" s="1" t="s">
        <v>117</v>
      </c>
      <c r="D24" s="1">
        <v>1988</v>
      </c>
      <c r="E24" s="1" t="s">
        <v>118</v>
      </c>
      <c r="F24" s="1" t="s">
        <v>13</v>
      </c>
      <c r="G24" s="1">
        <v>1</v>
      </c>
      <c r="H24" s="1" t="s">
        <v>41</v>
      </c>
      <c r="I24" s="1" t="s">
        <v>13</v>
      </c>
      <c r="J24" s="1" t="s">
        <v>13</v>
      </c>
      <c r="K24" s="1" t="s">
        <v>119</v>
      </c>
      <c r="L24" s="1" t="s">
        <v>17</v>
      </c>
      <c r="M24" s="3"/>
    </row>
    <row r="25" spans="2:13" ht="15.75" customHeight="1" x14ac:dyDescent="0.2">
      <c r="B25" s="2">
        <v>43047.850726030098</v>
      </c>
      <c r="C25" s="1" t="s">
        <v>120</v>
      </c>
      <c r="D25" s="1">
        <v>1971</v>
      </c>
      <c r="E25" s="1" t="s">
        <v>121</v>
      </c>
      <c r="F25" s="1" t="s">
        <v>25</v>
      </c>
      <c r="G25" s="1" t="s">
        <v>45</v>
      </c>
      <c r="H25" s="1" t="s">
        <v>45</v>
      </c>
      <c r="I25" s="1" t="s">
        <v>13</v>
      </c>
      <c r="J25" s="1" t="s">
        <v>25</v>
      </c>
      <c r="K25" s="1" t="s">
        <v>122</v>
      </c>
      <c r="L25" s="1" t="s">
        <v>123</v>
      </c>
      <c r="M25" s="3"/>
    </row>
    <row r="26" spans="2:13" ht="15.75" customHeight="1" x14ac:dyDescent="0.2">
      <c r="B26" s="2">
        <v>43047.858618356477</v>
      </c>
      <c r="C26" s="1" t="s">
        <v>124</v>
      </c>
      <c r="D26" s="1">
        <v>1975</v>
      </c>
      <c r="E26" s="1">
        <v>919841022628</v>
      </c>
      <c r="F26" s="1" t="s">
        <v>13</v>
      </c>
      <c r="G26" s="1" t="s">
        <v>125</v>
      </c>
      <c r="H26" s="1" t="s">
        <v>35</v>
      </c>
      <c r="I26" s="1" t="s">
        <v>13</v>
      </c>
      <c r="J26" s="1" t="s">
        <v>13</v>
      </c>
      <c r="K26" s="1" t="s">
        <v>126</v>
      </c>
      <c r="L26" s="1" t="s">
        <v>84</v>
      </c>
      <c r="M26" s="3"/>
    </row>
    <row r="27" spans="2:13" ht="12.75" x14ac:dyDescent="0.2">
      <c r="B27" s="2">
        <v>43047.873123587968</v>
      </c>
      <c r="C27" s="1" t="s">
        <v>127</v>
      </c>
      <c r="D27" s="1">
        <v>1983</v>
      </c>
      <c r="E27" s="1" t="s">
        <v>128</v>
      </c>
      <c r="F27" s="1" t="s">
        <v>13</v>
      </c>
      <c r="G27" s="1" t="s">
        <v>40</v>
      </c>
      <c r="H27" s="1" t="s">
        <v>129</v>
      </c>
      <c r="I27" s="1" t="s">
        <v>13</v>
      </c>
      <c r="J27" s="1" t="s">
        <v>13</v>
      </c>
      <c r="K27" s="1" t="s">
        <v>130</v>
      </c>
      <c r="L27" s="1" t="s">
        <v>59</v>
      </c>
      <c r="M27" s="3"/>
    </row>
    <row r="28" spans="2:13" ht="12.75" x14ac:dyDescent="0.2">
      <c r="B28" s="2">
        <v>43047.891246053245</v>
      </c>
      <c r="C28" s="1" t="s">
        <v>131</v>
      </c>
      <c r="D28" s="1">
        <v>1973</v>
      </c>
      <c r="E28" s="1" t="s">
        <v>132</v>
      </c>
      <c r="F28" s="1" t="s">
        <v>25</v>
      </c>
      <c r="G28" s="1" t="s">
        <v>50</v>
      </c>
      <c r="H28" s="1" t="s">
        <v>50</v>
      </c>
      <c r="I28" s="1" t="s">
        <v>13</v>
      </c>
      <c r="J28" s="1" t="s">
        <v>25</v>
      </c>
      <c r="K28" s="1" t="s">
        <v>133</v>
      </c>
      <c r="L28" s="1" t="s">
        <v>134</v>
      </c>
      <c r="M28" s="3"/>
    </row>
    <row r="29" spans="2:13" ht="12.75" x14ac:dyDescent="0.2">
      <c r="B29" s="2">
        <v>43047.915064687499</v>
      </c>
      <c r="C29" s="1" t="s">
        <v>135</v>
      </c>
      <c r="D29" s="1">
        <v>1984</v>
      </c>
      <c r="E29" s="1" t="s">
        <v>136</v>
      </c>
      <c r="F29" s="1" t="s">
        <v>25</v>
      </c>
      <c r="G29" s="1" t="s">
        <v>45</v>
      </c>
      <c r="H29" s="1" t="s">
        <v>45</v>
      </c>
      <c r="I29" s="1" t="s">
        <v>25</v>
      </c>
      <c r="J29" s="1" t="s">
        <v>25</v>
      </c>
      <c r="K29" s="1" t="s">
        <v>137</v>
      </c>
      <c r="L29" s="1" t="s">
        <v>138</v>
      </c>
      <c r="M29" s="3"/>
    </row>
    <row r="30" spans="2:13" ht="12.75" x14ac:dyDescent="0.2">
      <c r="B30" s="2">
        <v>43047.9385993287</v>
      </c>
      <c r="C30" s="1" t="s">
        <v>139</v>
      </c>
      <c r="D30" s="1">
        <v>1972</v>
      </c>
      <c r="E30" s="1" t="s">
        <v>140</v>
      </c>
      <c r="F30" s="1" t="s">
        <v>13</v>
      </c>
      <c r="G30" s="1" t="s">
        <v>62</v>
      </c>
      <c r="H30" s="1" t="s">
        <v>141</v>
      </c>
      <c r="I30" s="1" t="s">
        <v>13</v>
      </c>
      <c r="J30" s="1" t="s">
        <v>13</v>
      </c>
      <c r="K30" s="1" t="s">
        <v>142</v>
      </c>
      <c r="L30" s="1" t="s">
        <v>59</v>
      </c>
      <c r="M30" s="3"/>
    </row>
    <row r="31" spans="2:13" ht="12.75" x14ac:dyDescent="0.2">
      <c r="B31" s="2">
        <v>43047.945890810181</v>
      </c>
      <c r="C31" s="1" t="s">
        <v>143</v>
      </c>
      <c r="D31" s="1">
        <v>1974</v>
      </c>
      <c r="E31" s="1">
        <v>919841879318</v>
      </c>
      <c r="F31" s="1" t="s">
        <v>13</v>
      </c>
      <c r="G31" s="1" t="s">
        <v>144</v>
      </c>
      <c r="H31" s="1" t="s">
        <v>41</v>
      </c>
      <c r="I31" s="1" t="s">
        <v>13</v>
      </c>
      <c r="J31" s="1" t="s">
        <v>25</v>
      </c>
      <c r="K31" s="1" t="s">
        <v>145</v>
      </c>
      <c r="L31" s="1" t="s">
        <v>146</v>
      </c>
      <c r="M31" s="3"/>
    </row>
    <row r="32" spans="2:13" ht="12.75" x14ac:dyDescent="0.2">
      <c r="B32" s="2">
        <v>43047.970304965274</v>
      </c>
      <c r="C32" s="1" t="s">
        <v>147</v>
      </c>
      <c r="D32" s="1">
        <v>1988</v>
      </c>
      <c r="E32" s="1" t="s">
        <v>148</v>
      </c>
      <c r="F32" s="1" t="s">
        <v>13</v>
      </c>
      <c r="G32" s="1">
        <v>1</v>
      </c>
      <c r="H32" s="1" t="s">
        <v>41</v>
      </c>
      <c r="I32" s="1" t="s">
        <v>13</v>
      </c>
      <c r="J32" s="1" t="s">
        <v>13</v>
      </c>
      <c r="K32" s="1" t="s">
        <v>149</v>
      </c>
      <c r="L32" s="1" t="s">
        <v>150</v>
      </c>
      <c r="M32" s="3"/>
    </row>
    <row r="33" spans="2:13" ht="12.75" x14ac:dyDescent="0.2">
      <c r="B33" s="2">
        <v>43048.088361712958</v>
      </c>
      <c r="C33" s="1" t="s">
        <v>151</v>
      </c>
      <c r="D33" s="1">
        <v>1991</v>
      </c>
      <c r="E33" s="1" t="s">
        <v>152</v>
      </c>
      <c r="F33" s="1" t="s">
        <v>13</v>
      </c>
      <c r="G33" s="1">
        <v>1</v>
      </c>
      <c r="H33" s="1" t="s">
        <v>153</v>
      </c>
      <c r="I33" s="1" t="s">
        <v>25</v>
      </c>
      <c r="J33" s="1" t="s">
        <v>25</v>
      </c>
      <c r="K33" s="1" t="s">
        <v>154</v>
      </c>
      <c r="L33" s="1" t="s">
        <v>59</v>
      </c>
      <c r="M33" s="3"/>
    </row>
    <row r="34" spans="2:13" ht="12.75" x14ac:dyDescent="0.2">
      <c r="B34" s="2">
        <v>43048.092233587959</v>
      </c>
      <c r="C34" s="1" t="s">
        <v>155</v>
      </c>
      <c r="D34" s="1">
        <v>1972</v>
      </c>
      <c r="E34" s="1" t="s">
        <v>156</v>
      </c>
      <c r="F34" s="1" t="s">
        <v>13</v>
      </c>
      <c r="G34" s="1">
        <v>1</v>
      </c>
      <c r="H34" s="1" t="s">
        <v>15</v>
      </c>
      <c r="I34" s="1" t="s">
        <v>25</v>
      </c>
      <c r="J34" s="1" t="s">
        <v>13</v>
      </c>
      <c r="K34" s="1" t="s">
        <v>157</v>
      </c>
      <c r="L34" s="1" t="s">
        <v>158</v>
      </c>
      <c r="M34" s="3"/>
    </row>
    <row r="35" spans="2:13" ht="12.75" x14ac:dyDescent="0.2">
      <c r="B35" s="2">
        <v>43048.262768483793</v>
      </c>
      <c r="C35" s="1" t="s">
        <v>159</v>
      </c>
      <c r="D35" s="1">
        <v>1993</v>
      </c>
      <c r="E35" s="1" t="s">
        <v>160</v>
      </c>
      <c r="F35" s="1" t="s">
        <v>13</v>
      </c>
      <c r="G35" s="1">
        <v>3</v>
      </c>
      <c r="H35" s="1" t="s">
        <v>41</v>
      </c>
      <c r="I35" s="1" t="s">
        <v>25</v>
      </c>
      <c r="J35" s="1" t="s">
        <v>13</v>
      </c>
      <c r="K35" s="1" t="s">
        <v>161</v>
      </c>
      <c r="L35" s="1" t="s">
        <v>17</v>
      </c>
      <c r="M35" s="3"/>
    </row>
    <row r="36" spans="2:13" ht="12.75" x14ac:dyDescent="0.2">
      <c r="B36" s="2">
        <v>43048.302860983793</v>
      </c>
      <c r="C36" s="1" t="s">
        <v>162</v>
      </c>
      <c r="D36" s="1">
        <v>1983</v>
      </c>
      <c r="E36" s="1" t="s">
        <v>163</v>
      </c>
      <c r="F36" s="1" t="s">
        <v>13</v>
      </c>
      <c r="G36" s="1">
        <v>2</v>
      </c>
      <c r="H36" s="1" t="s">
        <v>20</v>
      </c>
      <c r="I36" s="1" t="s">
        <v>13</v>
      </c>
      <c r="J36" s="1" t="s">
        <v>25</v>
      </c>
      <c r="K36" s="1" t="s">
        <v>164</v>
      </c>
      <c r="L36" s="1" t="s">
        <v>146</v>
      </c>
      <c r="M36" s="3"/>
    </row>
    <row r="37" spans="2:13" ht="12.75" x14ac:dyDescent="0.2">
      <c r="B37" s="2">
        <v>43048.400438599536</v>
      </c>
      <c r="C37" s="1" t="s">
        <v>165</v>
      </c>
      <c r="D37" s="1">
        <v>1978</v>
      </c>
      <c r="E37" s="1" t="s">
        <v>166</v>
      </c>
      <c r="F37" s="1" t="s">
        <v>25</v>
      </c>
      <c r="G37" s="1" t="s">
        <v>50</v>
      </c>
      <c r="H37" s="1" t="s">
        <v>167</v>
      </c>
      <c r="I37" s="1" t="s">
        <v>13</v>
      </c>
      <c r="J37" s="1" t="s">
        <v>13</v>
      </c>
      <c r="K37" s="1" t="s">
        <v>168</v>
      </c>
      <c r="L37" s="1" t="s">
        <v>169</v>
      </c>
      <c r="M37" s="3"/>
    </row>
    <row r="38" spans="2:13" ht="12.75" x14ac:dyDescent="0.2">
      <c r="B38" s="2">
        <v>43048.402702476851</v>
      </c>
      <c r="C38" s="1" t="s">
        <v>170</v>
      </c>
      <c r="D38" s="1">
        <v>1978</v>
      </c>
      <c r="E38" s="1" t="s">
        <v>171</v>
      </c>
      <c r="F38" s="1" t="s">
        <v>25</v>
      </c>
      <c r="G38" s="1" t="s">
        <v>50</v>
      </c>
      <c r="H38" s="1" t="s">
        <v>30</v>
      </c>
      <c r="I38" s="1" t="s">
        <v>13</v>
      </c>
      <c r="J38" s="1" t="s">
        <v>13</v>
      </c>
      <c r="K38" s="1" t="s">
        <v>168</v>
      </c>
      <c r="L38" s="1" t="s">
        <v>169</v>
      </c>
      <c r="M38" s="3"/>
    </row>
    <row r="39" spans="2:13" ht="12.75" x14ac:dyDescent="0.2">
      <c r="B39" s="2">
        <v>43048.420464016206</v>
      </c>
      <c r="C39" s="1" t="s">
        <v>172</v>
      </c>
      <c r="D39" s="1">
        <v>1992</v>
      </c>
      <c r="E39" s="1" t="s">
        <v>173</v>
      </c>
      <c r="F39" s="1" t="s">
        <v>13</v>
      </c>
      <c r="G39" s="1">
        <v>1</v>
      </c>
      <c r="H39" s="1" t="s">
        <v>174</v>
      </c>
      <c r="I39" s="1" t="s">
        <v>25</v>
      </c>
      <c r="J39" s="1" t="s">
        <v>25</v>
      </c>
      <c r="K39" s="1" t="s">
        <v>175</v>
      </c>
      <c r="L39" s="1" t="s">
        <v>176</v>
      </c>
      <c r="M39" s="3"/>
    </row>
    <row r="40" spans="2:13" ht="12.75" x14ac:dyDescent="0.2">
      <c r="B40" s="2">
        <v>43048.421286006946</v>
      </c>
      <c r="C40" s="1" t="s">
        <v>177</v>
      </c>
      <c r="D40" s="1">
        <v>1992</v>
      </c>
      <c r="E40" s="1" t="s">
        <v>178</v>
      </c>
      <c r="F40" s="1" t="s">
        <v>13</v>
      </c>
      <c r="G40" s="1">
        <v>1</v>
      </c>
      <c r="H40" s="1" t="s">
        <v>35</v>
      </c>
      <c r="I40" s="1" t="s">
        <v>25</v>
      </c>
      <c r="J40" s="1" t="s">
        <v>25</v>
      </c>
      <c r="K40" s="1" t="s">
        <v>179</v>
      </c>
      <c r="L40" s="1" t="s">
        <v>176</v>
      </c>
      <c r="M40" s="3"/>
    </row>
    <row r="41" spans="2:13" ht="12.75" x14ac:dyDescent="0.2">
      <c r="B41" s="2">
        <v>43048.423103194444</v>
      </c>
      <c r="C41" s="1" t="s">
        <v>180</v>
      </c>
      <c r="D41" s="1">
        <v>1972</v>
      </c>
      <c r="E41" s="1" t="s">
        <v>181</v>
      </c>
      <c r="F41" s="1" t="s">
        <v>13</v>
      </c>
      <c r="G41" s="1" t="s">
        <v>182</v>
      </c>
      <c r="H41" s="1" t="s">
        <v>141</v>
      </c>
      <c r="I41" s="1" t="s">
        <v>25</v>
      </c>
      <c r="J41" s="1" t="s">
        <v>13</v>
      </c>
      <c r="K41" s="1" t="s">
        <v>183</v>
      </c>
      <c r="L41" s="1" t="s">
        <v>184</v>
      </c>
      <c r="M41" s="3"/>
    </row>
    <row r="42" spans="2:13" ht="12.75" x14ac:dyDescent="0.2">
      <c r="B42" s="2">
        <v>43048.430851087964</v>
      </c>
      <c r="C42" s="1" t="s">
        <v>185</v>
      </c>
      <c r="D42" s="1">
        <v>1988</v>
      </c>
      <c r="E42" s="1" t="s">
        <v>186</v>
      </c>
      <c r="F42" s="1" t="s">
        <v>13</v>
      </c>
      <c r="G42" s="1" t="s">
        <v>187</v>
      </c>
      <c r="H42" s="1" t="s">
        <v>188</v>
      </c>
      <c r="I42" s="1" t="s">
        <v>13</v>
      </c>
      <c r="J42" s="1" t="s">
        <v>13</v>
      </c>
      <c r="K42" s="1" t="s">
        <v>189</v>
      </c>
      <c r="L42" s="1" t="s">
        <v>17</v>
      </c>
      <c r="M42" s="3"/>
    </row>
    <row r="43" spans="2:13" ht="12.75" x14ac:dyDescent="0.2">
      <c r="B43" s="2">
        <v>43048.458668923609</v>
      </c>
      <c r="C43" s="1" t="s">
        <v>190</v>
      </c>
      <c r="D43" s="1">
        <v>2006</v>
      </c>
      <c r="E43" s="1" t="s">
        <v>191</v>
      </c>
      <c r="F43" s="1" t="s">
        <v>13</v>
      </c>
      <c r="G43" s="1">
        <v>1</v>
      </c>
      <c r="H43" s="1" t="s">
        <v>35</v>
      </c>
      <c r="I43" s="1" t="s">
        <v>25</v>
      </c>
      <c r="J43" s="1" t="s">
        <v>13</v>
      </c>
      <c r="K43" s="1" t="s">
        <v>192</v>
      </c>
      <c r="L43" s="1" t="s">
        <v>193</v>
      </c>
      <c r="M43" s="3"/>
    </row>
    <row r="44" spans="2:13" ht="12.75" x14ac:dyDescent="0.2">
      <c r="B44" s="2">
        <v>43048.465358263886</v>
      </c>
      <c r="C44" s="1" t="s">
        <v>194</v>
      </c>
      <c r="D44" s="1">
        <v>2006</v>
      </c>
      <c r="E44" s="1" t="s">
        <v>195</v>
      </c>
      <c r="F44" s="1" t="s">
        <v>13</v>
      </c>
      <c r="G44" s="1">
        <v>1</v>
      </c>
      <c r="H44" s="1" t="s">
        <v>35</v>
      </c>
      <c r="I44" s="1" t="s">
        <v>25</v>
      </c>
      <c r="J44" s="1" t="s">
        <v>25</v>
      </c>
      <c r="K44" s="1" t="s">
        <v>196</v>
      </c>
      <c r="L44" s="1" t="s">
        <v>197</v>
      </c>
      <c r="M44" s="3"/>
    </row>
    <row r="45" spans="2:13" ht="12.75" x14ac:dyDescent="0.2">
      <c r="B45" s="2">
        <v>43048.466382673607</v>
      </c>
      <c r="C45" s="1" t="s">
        <v>198</v>
      </c>
      <c r="D45" s="1">
        <v>1975</v>
      </c>
      <c r="E45" s="1" t="s">
        <v>199</v>
      </c>
      <c r="F45" s="1" t="s">
        <v>13</v>
      </c>
      <c r="G45" s="1" t="s">
        <v>101</v>
      </c>
      <c r="H45" s="1" t="s">
        <v>15</v>
      </c>
      <c r="I45" s="1" t="s">
        <v>13</v>
      </c>
      <c r="J45" s="1" t="s">
        <v>13</v>
      </c>
      <c r="K45" s="1" t="s">
        <v>200</v>
      </c>
      <c r="L45" s="1" t="s">
        <v>193</v>
      </c>
      <c r="M45" s="3"/>
    </row>
    <row r="46" spans="2:13" ht="12.75" x14ac:dyDescent="0.2">
      <c r="B46" s="2">
        <v>43048.466857060186</v>
      </c>
      <c r="C46" s="1" t="s">
        <v>201</v>
      </c>
      <c r="D46" s="1">
        <v>2005</v>
      </c>
      <c r="E46" s="1" t="s">
        <v>202</v>
      </c>
      <c r="F46" s="1" t="s">
        <v>13</v>
      </c>
      <c r="G46" s="1" t="s">
        <v>203</v>
      </c>
      <c r="H46" s="1" t="s">
        <v>15</v>
      </c>
      <c r="I46" s="1" t="s">
        <v>25</v>
      </c>
      <c r="J46" s="1" t="s">
        <v>25</v>
      </c>
      <c r="K46" s="1" t="s">
        <v>204</v>
      </c>
      <c r="L46" s="1" t="s">
        <v>205</v>
      </c>
      <c r="M46" s="3"/>
    </row>
    <row r="47" spans="2:13" ht="12.75" x14ac:dyDescent="0.2">
      <c r="B47" s="2">
        <v>43048.480122928246</v>
      </c>
      <c r="C47" s="1" t="s">
        <v>206</v>
      </c>
      <c r="D47" s="1">
        <v>1981</v>
      </c>
      <c r="E47" s="1" t="s">
        <v>207</v>
      </c>
      <c r="F47" s="1" t="s">
        <v>13</v>
      </c>
      <c r="G47" s="1">
        <v>1</v>
      </c>
      <c r="H47" s="1" t="s">
        <v>35</v>
      </c>
      <c r="I47" s="1" t="s">
        <v>13</v>
      </c>
      <c r="J47" s="1" t="s">
        <v>13</v>
      </c>
      <c r="K47" s="1" t="s">
        <v>208</v>
      </c>
      <c r="L47" s="1" t="s">
        <v>209</v>
      </c>
      <c r="M47" s="3"/>
    </row>
    <row r="48" spans="2:13" ht="12.75" x14ac:dyDescent="0.2">
      <c r="B48" s="2">
        <v>43048.506554224536</v>
      </c>
      <c r="C48" s="1" t="s">
        <v>210</v>
      </c>
      <c r="D48" s="1">
        <v>1971</v>
      </c>
      <c r="E48" s="1" t="s">
        <v>211</v>
      </c>
      <c r="F48" s="1" t="s">
        <v>25</v>
      </c>
      <c r="G48" s="1" t="s">
        <v>212</v>
      </c>
      <c r="H48" s="1" t="s">
        <v>212</v>
      </c>
      <c r="I48" s="1" t="s">
        <v>25</v>
      </c>
      <c r="J48" s="1" t="s">
        <v>25</v>
      </c>
      <c r="K48" s="1" t="s">
        <v>213</v>
      </c>
      <c r="L48" s="1" t="s">
        <v>214</v>
      </c>
      <c r="M48" s="3"/>
    </row>
    <row r="49" spans="2:13" ht="12.75" x14ac:dyDescent="0.2">
      <c r="B49" s="2">
        <v>43048.559830868056</v>
      </c>
      <c r="C49" s="1" t="s">
        <v>215</v>
      </c>
      <c r="D49" s="1">
        <v>1977</v>
      </c>
      <c r="E49" s="1" t="s">
        <v>216</v>
      </c>
      <c r="F49" s="1" t="s">
        <v>13</v>
      </c>
      <c r="G49" s="1">
        <v>1</v>
      </c>
      <c r="H49" s="1" t="s">
        <v>15</v>
      </c>
      <c r="I49" s="1" t="s">
        <v>13</v>
      </c>
      <c r="J49" s="1" t="s">
        <v>25</v>
      </c>
      <c r="K49" s="1" t="s">
        <v>217</v>
      </c>
      <c r="L49" s="1" t="s">
        <v>218</v>
      </c>
      <c r="M49" s="3"/>
    </row>
    <row r="50" spans="2:13" ht="12.75" x14ac:dyDescent="0.2">
      <c r="B50" s="2">
        <v>43048.636558865735</v>
      </c>
      <c r="C50" s="1" t="s">
        <v>219</v>
      </c>
      <c r="D50" s="1">
        <v>1985</v>
      </c>
      <c r="E50" s="1" t="s">
        <v>220</v>
      </c>
      <c r="F50" s="1" t="s">
        <v>13</v>
      </c>
      <c r="G50" s="1" t="s">
        <v>221</v>
      </c>
      <c r="H50" s="1" t="s">
        <v>153</v>
      </c>
      <c r="I50" s="1" t="s">
        <v>13</v>
      </c>
      <c r="J50" s="1" t="s">
        <v>13</v>
      </c>
      <c r="K50" s="1" t="s">
        <v>222</v>
      </c>
      <c r="L50" s="1" t="s">
        <v>197</v>
      </c>
      <c r="M50" s="3"/>
    </row>
    <row r="51" spans="2:13" ht="12.75" x14ac:dyDescent="0.2">
      <c r="B51" s="2">
        <v>43048.790748298612</v>
      </c>
      <c r="C51" s="1" t="s">
        <v>223</v>
      </c>
      <c r="D51" s="1">
        <v>1972</v>
      </c>
      <c r="E51" s="1" t="s">
        <v>224</v>
      </c>
      <c r="F51" s="1" t="s">
        <v>13</v>
      </c>
      <c r="G51" s="1" t="s">
        <v>101</v>
      </c>
      <c r="H51" s="1" t="s">
        <v>15</v>
      </c>
      <c r="I51" s="1" t="s">
        <v>13</v>
      </c>
      <c r="J51" s="1" t="s">
        <v>13</v>
      </c>
      <c r="K51" s="1" t="s">
        <v>225</v>
      </c>
      <c r="L51" s="1" t="s">
        <v>226</v>
      </c>
      <c r="M51" s="3"/>
    </row>
    <row r="52" spans="2:13" ht="12.75" x14ac:dyDescent="0.2">
      <c r="B52" s="2">
        <v>43048.894039664352</v>
      </c>
      <c r="C52" s="1" t="s">
        <v>227</v>
      </c>
      <c r="D52" s="1">
        <v>1999</v>
      </c>
      <c r="E52" s="1" t="s">
        <v>228</v>
      </c>
      <c r="F52" s="1" t="s">
        <v>13</v>
      </c>
      <c r="G52" s="1">
        <v>1</v>
      </c>
      <c r="H52" s="1" t="s">
        <v>41</v>
      </c>
      <c r="I52" s="1" t="s">
        <v>25</v>
      </c>
      <c r="J52" s="1" t="s">
        <v>13</v>
      </c>
      <c r="K52" s="1" t="s">
        <v>229</v>
      </c>
      <c r="L52" s="1" t="s">
        <v>230</v>
      </c>
      <c r="M52" s="3"/>
    </row>
    <row r="53" spans="2:13" ht="12.75" x14ac:dyDescent="0.2">
      <c r="B53" s="2">
        <v>43048.927305844903</v>
      </c>
      <c r="C53" s="1" t="s">
        <v>231</v>
      </c>
      <c r="D53" s="1">
        <v>1999</v>
      </c>
      <c r="E53" s="1" t="s">
        <v>232</v>
      </c>
      <c r="F53" s="1" t="s">
        <v>25</v>
      </c>
      <c r="G53" s="1" t="s">
        <v>45</v>
      </c>
      <c r="H53" s="1" t="s">
        <v>50</v>
      </c>
      <c r="I53" s="1" t="s">
        <v>13</v>
      </c>
      <c r="J53" s="1" t="s">
        <v>25</v>
      </c>
      <c r="K53" s="1" t="s">
        <v>233</v>
      </c>
      <c r="L53" s="1" t="s">
        <v>234</v>
      </c>
      <c r="M53" s="3"/>
    </row>
    <row r="54" spans="2:13" ht="12.75" x14ac:dyDescent="0.2">
      <c r="B54" s="2">
        <v>43048.929119780092</v>
      </c>
      <c r="C54" s="1" t="s">
        <v>235</v>
      </c>
      <c r="D54" s="1">
        <v>1995</v>
      </c>
      <c r="E54" s="1" t="s">
        <v>236</v>
      </c>
      <c r="F54" s="1" t="s">
        <v>13</v>
      </c>
      <c r="G54" s="1" t="s">
        <v>40</v>
      </c>
      <c r="H54" s="1" t="s">
        <v>141</v>
      </c>
      <c r="I54" s="1" t="s">
        <v>13</v>
      </c>
      <c r="J54" s="1" t="s">
        <v>13</v>
      </c>
      <c r="K54" s="1" t="s">
        <v>237</v>
      </c>
      <c r="L54" s="1" t="s">
        <v>17</v>
      </c>
      <c r="M54" s="3"/>
    </row>
    <row r="55" spans="2:13" ht="12.75" x14ac:dyDescent="0.2">
      <c r="B55" s="2">
        <v>43048.930493472217</v>
      </c>
      <c r="C55" s="1" t="s">
        <v>238</v>
      </c>
      <c r="D55" s="1">
        <v>1966</v>
      </c>
      <c r="E55" s="1" t="s">
        <v>239</v>
      </c>
      <c r="F55" s="1" t="s">
        <v>13</v>
      </c>
      <c r="G55" s="1" t="s">
        <v>40</v>
      </c>
      <c r="H55" s="1" t="s">
        <v>141</v>
      </c>
      <c r="I55" s="1" t="s">
        <v>13</v>
      </c>
      <c r="J55" s="1" t="s">
        <v>13</v>
      </c>
      <c r="K55" s="1" t="s">
        <v>237</v>
      </c>
      <c r="L55" s="1" t="s">
        <v>240</v>
      </c>
      <c r="M55" s="3"/>
    </row>
    <row r="56" spans="2:13" ht="12.75" x14ac:dyDescent="0.2">
      <c r="B56" s="2">
        <v>43048.93191028935</v>
      </c>
      <c r="C56" s="1" t="s">
        <v>241</v>
      </c>
      <c r="D56" s="1">
        <v>1954</v>
      </c>
      <c r="E56" s="1" t="s">
        <v>242</v>
      </c>
      <c r="F56" s="1" t="s">
        <v>13</v>
      </c>
      <c r="G56" s="1" t="s">
        <v>40</v>
      </c>
      <c r="H56" s="1" t="s">
        <v>141</v>
      </c>
      <c r="I56" s="1" t="s">
        <v>13</v>
      </c>
      <c r="J56" s="1" t="s">
        <v>13</v>
      </c>
      <c r="K56" s="1" t="s">
        <v>237</v>
      </c>
      <c r="L56" s="1" t="s">
        <v>17</v>
      </c>
      <c r="M56" s="3"/>
    </row>
    <row r="57" spans="2:13" ht="12.75" x14ac:dyDescent="0.2">
      <c r="B57" s="2">
        <v>43048.947513472223</v>
      </c>
      <c r="C57" s="1" t="s">
        <v>243</v>
      </c>
      <c r="D57" s="1">
        <v>1957</v>
      </c>
      <c r="E57" s="1" t="s">
        <v>244</v>
      </c>
      <c r="F57" s="1" t="s">
        <v>13</v>
      </c>
      <c r="G57" s="1" t="s">
        <v>245</v>
      </c>
      <c r="H57" s="1" t="s">
        <v>41</v>
      </c>
      <c r="I57" s="1" t="s">
        <v>13</v>
      </c>
      <c r="J57" s="1" t="s">
        <v>25</v>
      </c>
      <c r="K57" s="1" t="s">
        <v>246</v>
      </c>
      <c r="L57" s="1" t="s">
        <v>247</v>
      </c>
      <c r="M57" s="3"/>
    </row>
    <row r="58" spans="2:13" ht="12.75" x14ac:dyDescent="0.2">
      <c r="B58" s="2">
        <v>43048.971371296298</v>
      </c>
      <c r="C58" s="1" t="s">
        <v>248</v>
      </c>
      <c r="D58" s="1">
        <v>1977</v>
      </c>
      <c r="E58" s="1" t="s">
        <v>249</v>
      </c>
      <c r="F58" s="1" t="s">
        <v>13</v>
      </c>
      <c r="G58" s="1" t="s">
        <v>250</v>
      </c>
      <c r="H58" s="1" t="s">
        <v>141</v>
      </c>
      <c r="I58" s="1" t="s">
        <v>13</v>
      </c>
      <c r="J58" s="1" t="s">
        <v>13</v>
      </c>
      <c r="K58" s="1" t="s">
        <v>251</v>
      </c>
      <c r="L58" s="1" t="s">
        <v>252</v>
      </c>
      <c r="M58" s="3"/>
    </row>
    <row r="59" spans="2:13" ht="12.75" x14ac:dyDescent="0.2">
      <c r="B59" s="2">
        <v>43049.353750671296</v>
      </c>
      <c r="C59" s="1" t="s">
        <v>253</v>
      </c>
      <c r="D59" s="1">
        <v>1974</v>
      </c>
      <c r="E59" s="1" t="s">
        <v>254</v>
      </c>
      <c r="F59" s="1" t="s">
        <v>13</v>
      </c>
      <c r="G59" s="1" t="s">
        <v>92</v>
      </c>
      <c r="H59" s="1" t="s">
        <v>15</v>
      </c>
      <c r="I59" s="1" t="s">
        <v>13</v>
      </c>
      <c r="J59" s="1" t="s">
        <v>13</v>
      </c>
      <c r="K59" s="1" t="s">
        <v>255</v>
      </c>
      <c r="L59" s="1" t="s">
        <v>17</v>
      </c>
      <c r="M59" s="3"/>
    </row>
    <row r="60" spans="2:13" ht="12.75" x14ac:dyDescent="0.2">
      <c r="B60" s="2">
        <v>43049.363256412034</v>
      </c>
      <c r="C60" s="1" t="s">
        <v>256</v>
      </c>
      <c r="D60" s="1">
        <v>1981</v>
      </c>
      <c r="E60" s="1">
        <v>449789817676</v>
      </c>
      <c r="F60" s="1" t="s">
        <v>13</v>
      </c>
      <c r="G60" s="1" t="s">
        <v>257</v>
      </c>
      <c r="H60" s="1" t="s">
        <v>141</v>
      </c>
      <c r="I60" s="1" t="s">
        <v>25</v>
      </c>
      <c r="J60" s="1" t="s">
        <v>13</v>
      </c>
      <c r="K60" s="1" t="s">
        <v>258</v>
      </c>
      <c r="L60" s="1" t="s">
        <v>259</v>
      </c>
      <c r="M60" s="3"/>
    </row>
    <row r="61" spans="2:13" ht="12.75" x14ac:dyDescent="0.2">
      <c r="B61" s="2">
        <v>43049.712474155094</v>
      </c>
      <c r="C61" s="1" t="s">
        <v>260</v>
      </c>
      <c r="D61" s="1">
        <v>1971</v>
      </c>
      <c r="E61" s="1" t="s">
        <v>261</v>
      </c>
      <c r="F61" s="1" t="s">
        <v>13</v>
      </c>
      <c r="G61" s="1" t="s">
        <v>101</v>
      </c>
      <c r="H61" s="1" t="s">
        <v>35</v>
      </c>
      <c r="I61" s="1" t="s">
        <v>13</v>
      </c>
      <c r="J61" s="1" t="s">
        <v>25</v>
      </c>
      <c r="K61" s="1" t="s">
        <v>262</v>
      </c>
      <c r="L61" s="1" t="s">
        <v>84</v>
      </c>
      <c r="M61" s="3"/>
    </row>
    <row r="62" spans="2:13" ht="12.75" x14ac:dyDescent="0.2">
      <c r="B62" s="2">
        <v>43050.49918392361</v>
      </c>
      <c r="C62" s="1" t="s">
        <v>263</v>
      </c>
      <c r="D62" s="1">
        <v>1976</v>
      </c>
      <c r="E62" s="1" t="s">
        <v>264</v>
      </c>
      <c r="F62" s="1" t="s">
        <v>13</v>
      </c>
      <c r="G62" s="1" t="s">
        <v>81</v>
      </c>
      <c r="H62" s="1" t="s">
        <v>41</v>
      </c>
      <c r="I62" s="1" t="s">
        <v>13</v>
      </c>
      <c r="J62" s="1" t="s">
        <v>13</v>
      </c>
      <c r="K62" s="1" t="s">
        <v>265</v>
      </c>
      <c r="L62" s="1" t="s">
        <v>17</v>
      </c>
      <c r="M62" s="3"/>
    </row>
    <row r="63" spans="2:13" ht="12.75" x14ac:dyDescent="0.2">
      <c r="B63" s="2">
        <v>43050.766600115741</v>
      </c>
      <c r="C63" s="1" t="s">
        <v>266</v>
      </c>
      <c r="D63" s="1">
        <v>1983</v>
      </c>
      <c r="E63" s="1" t="s">
        <v>267</v>
      </c>
      <c r="F63" s="1" t="s">
        <v>13</v>
      </c>
      <c r="G63" s="1">
        <v>0</v>
      </c>
      <c r="H63" s="1" t="s">
        <v>35</v>
      </c>
      <c r="I63" s="1" t="s">
        <v>25</v>
      </c>
      <c r="J63" s="1" t="s">
        <v>25</v>
      </c>
      <c r="K63" s="1" t="s">
        <v>268</v>
      </c>
      <c r="L63" s="1" t="s">
        <v>193</v>
      </c>
      <c r="M63" s="3"/>
    </row>
    <row r="64" spans="2:13" ht="12.75" x14ac:dyDescent="0.2">
      <c r="B64" s="2">
        <v>43050.766604375</v>
      </c>
      <c r="C64" s="1" t="s">
        <v>266</v>
      </c>
      <c r="D64" s="1">
        <v>1983</v>
      </c>
      <c r="E64" s="1" t="s">
        <v>267</v>
      </c>
      <c r="F64" s="1" t="s">
        <v>13</v>
      </c>
      <c r="G64" s="1">
        <v>0</v>
      </c>
      <c r="H64" s="1" t="s">
        <v>35</v>
      </c>
      <c r="I64" s="1" t="s">
        <v>25</v>
      </c>
      <c r="J64" s="1" t="s">
        <v>25</v>
      </c>
      <c r="K64" s="1" t="s">
        <v>268</v>
      </c>
      <c r="L64" s="1" t="s">
        <v>193</v>
      </c>
      <c r="M64" s="3"/>
    </row>
    <row r="65" spans="2:13" ht="12.75" x14ac:dyDescent="0.2">
      <c r="B65" s="2">
        <v>43050.782382372687</v>
      </c>
      <c r="C65" s="1" t="s">
        <v>269</v>
      </c>
      <c r="D65" s="1">
        <v>1976</v>
      </c>
      <c r="E65" s="1" t="s">
        <v>270</v>
      </c>
      <c r="F65" s="1" t="s">
        <v>13</v>
      </c>
      <c r="G65" s="1">
        <v>1</v>
      </c>
      <c r="H65" s="1" t="s">
        <v>15</v>
      </c>
      <c r="I65" s="1" t="s">
        <v>13</v>
      </c>
      <c r="J65" s="1" t="s">
        <v>13</v>
      </c>
      <c r="K65" s="1" t="s">
        <v>271</v>
      </c>
      <c r="L65" s="1" t="s">
        <v>59</v>
      </c>
      <c r="M65" s="3"/>
    </row>
    <row r="66" spans="2:13" ht="12.75" x14ac:dyDescent="0.2">
      <c r="B66" s="2">
        <v>43050.87143162037</v>
      </c>
      <c r="C66" s="1" t="s">
        <v>272</v>
      </c>
      <c r="D66" s="1">
        <v>1981</v>
      </c>
      <c r="E66" s="1" t="s">
        <v>273</v>
      </c>
      <c r="F66" s="1" t="s">
        <v>13</v>
      </c>
      <c r="G66" s="1" t="s">
        <v>274</v>
      </c>
      <c r="H66" s="1" t="s">
        <v>275</v>
      </c>
      <c r="I66" s="1" t="s">
        <v>25</v>
      </c>
      <c r="J66" s="1" t="s">
        <v>25</v>
      </c>
      <c r="K66" s="1" t="s">
        <v>276</v>
      </c>
      <c r="L66" s="1" t="s">
        <v>59</v>
      </c>
      <c r="M66" s="3"/>
    </row>
    <row r="67" spans="2:13" ht="12.75" x14ac:dyDescent="0.2">
      <c r="B67" s="2">
        <v>43051.471701944443</v>
      </c>
      <c r="C67" s="1" t="s">
        <v>277</v>
      </c>
      <c r="D67" s="1">
        <v>1957</v>
      </c>
      <c r="E67" s="1" t="s">
        <v>278</v>
      </c>
      <c r="F67" s="1" t="s">
        <v>13</v>
      </c>
      <c r="G67" s="1" t="s">
        <v>101</v>
      </c>
      <c r="H67" s="1" t="s">
        <v>279</v>
      </c>
      <c r="I67" s="1" t="s">
        <v>25</v>
      </c>
      <c r="J67" s="1" t="s">
        <v>13</v>
      </c>
      <c r="K67" s="1" t="s">
        <v>280</v>
      </c>
      <c r="L67" s="1" t="s">
        <v>226</v>
      </c>
      <c r="M67" s="3"/>
    </row>
    <row r="68" spans="2:13" ht="12.75" x14ac:dyDescent="0.2">
      <c r="B68" s="2">
        <v>43051.490976458328</v>
      </c>
      <c r="C68" s="1" t="s">
        <v>277</v>
      </c>
      <c r="D68" s="1">
        <v>1957</v>
      </c>
      <c r="E68" s="1" t="s">
        <v>281</v>
      </c>
      <c r="F68" s="1" t="s">
        <v>13</v>
      </c>
      <c r="G68" s="1" t="s">
        <v>282</v>
      </c>
      <c r="H68" s="1" t="s">
        <v>279</v>
      </c>
      <c r="I68" s="1" t="s">
        <v>25</v>
      </c>
      <c r="J68" s="1" t="s">
        <v>13</v>
      </c>
      <c r="K68" s="1" t="s">
        <v>280</v>
      </c>
      <c r="L68" s="1" t="s">
        <v>226</v>
      </c>
      <c r="M68" s="3"/>
    </row>
    <row r="69" spans="2:13" ht="12.75" x14ac:dyDescent="0.2">
      <c r="B69" s="2">
        <v>43051.673828784726</v>
      </c>
      <c r="C69" s="1" t="s">
        <v>283</v>
      </c>
      <c r="D69" s="1">
        <v>1991</v>
      </c>
      <c r="E69" s="1" t="s">
        <v>284</v>
      </c>
      <c r="F69" s="1" t="s">
        <v>13</v>
      </c>
      <c r="G69" s="1">
        <v>1</v>
      </c>
      <c r="H69" s="1" t="s">
        <v>35</v>
      </c>
      <c r="I69" s="1" t="s">
        <v>25</v>
      </c>
      <c r="J69" s="1" t="s">
        <v>25</v>
      </c>
      <c r="K69" s="1" t="s">
        <v>285</v>
      </c>
      <c r="L69" s="1" t="s">
        <v>286</v>
      </c>
      <c r="M69" s="3"/>
    </row>
    <row r="70" spans="2:13" ht="12.75" x14ac:dyDescent="0.2">
      <c r="B70" s="2">
        <v>43051.747110046301</v>
      </c>
      <c r="C70" s="1" t="s">
        <v>287</v>
      </c>
      <c r="D70" s="1">
        <v>1980</v>
      </c>
      <c r="E70" s="1" t="s">
        <v>288</v>
      </c>
      <c r="F70" s="1" t="s">
        <v>13</v>
      </c>
      <c r="G70" s="1">
        <v>2</v>
      </c>
      <c r="H70" s="1" t="s">
        <v>289</v>
      </c>
      <c r="I70" s="1" t="s">
        <v>13</v>
      </c>
      <c r="J70" s="1" t="s">
        <v>13</v>
      </c>
      <c r="K70" s="1" t="s">
        <v>290</v>
      </c>
      <c r="L70" s="1" t="s">
        <v>59</v>
      </c>
      <c r="M70" s="3"/>
    </row>
    <row r="71" spans="2:13" ht="12.75" x14ac:dyDescent="0.2">
      <c r="B71" s="2">
        <v>43052.521841747686</v>
      </c>
      <c r="C71" s="1" t="s">
        <v>291</v>
      </c>
      <c r="D71" s="1">
        <v>1982</v>
      </c>
      <c r="E71" s="1" t="s">
        <v>292</v>
      </c>
      <c r="F71" s="1" t="s">
        <v>13</v>
      </c>
      <c r="G71" s="1" t="s">
        <v>101</v>
      </c>
      <c r="H71" s="1" t="s">
        <v>41</v>
      </c>
      <c r="I71" s="1" t="s">
        <v>13</v>
      </c>
      <c r="J71" s="1" t="s">
        <v>25</v>
      </c>
      <c r="K71" s="1" t="s">
        <v>293</v>
      </c>
      <c r="L71" s="1" t="s">
        <v>294</v>
      </c>
      <c r="M71" s="3"/>
    </row>
    <row r="72" spans="2:13" ht="12.75" x14ac:dyDescent="0.2">
      <c r="B72" s="2">
        <v>43052.526836377314</v>
      </c>
      <c r="C72" s="1" t="s">
        <v>295</v>
      </c>
      <c r="D72" s="1">
        <v>1985</v>
      </c>
      <c r="E72" s="1" t="s">
        <v>296</v>
      </c>
      <c r="F72" s="1" t="s">
        <v>13</v>
      </c>
      <c r="G72" s="1">
        <v>1</v>
      </c>
      <c r="H72" s="1" t="s">
        <v>297</v>
      </c>
      <c r="I72" s="1" t="s">
        <v>13</v>
      </c>
      <c r="J72" s="1" t="s">
        <v>25</v>
      </c>
      <c r="K72" s="1" t="s">
        <v>298</v>
      </c>
      <c r="L72" s="1" t="s">
        <v>84</v>
      </c>
      <c r="M72" s="3"/>
    </row>
    <row r="73" spans="2:13" ht="12.75" x14ac:dyDescent="0.2">
      <c r="B73" s="2">
        <v>43052.530180821763</v>
      </c>
      <c r="C73" s="1" t="s">
        <v>299</v>
      </c>
      <c r="D73" s="1">
        <v>1985</v>
      </c>
      <c r="E73" s="1" t="s">
        <v>300</v>
      </c>
      <c r="F73" s="1" t="s">
        <v>13</v>
      </c>
      <c r="G73" s="1">
        <v>1</v>
      </c>
      <c r="H73" s="1" t="s">
        <v>297</v>
      </c>
      <c r="I73" s="1" t="s">
        <v>13</v>
      </c>
      <c r="J73" s="1" t="s">
        <v>25</v>
      </c>
      <c r="K73" s="1" t="s">
        <v>301</v>
      </c>
      <c r="L73" s="1" t="s">
        <v>59</v>
      </c>
      <c r="M73" s="3"/>
    </row>
    <row r="74" spans="2:13" ht="12.75" x14ac:dyDescent="0.2">
      <c r="B74" s="2">
        <v>43052.531692743054</v>
      </c>
      <c r="C74" s="1" t="s">
        <v>302</v>
      </c>
      <c r="D74" s="1">
        <v>1985</v>
      </c>
      <c r="E74" s="1" t="s">
        <v>300</v>
      </c>
      <c r="F74" s="1" t="s">
        <v>13</v>
      </c>
      <c r="G74" s="1">
        <v>1</v>
      </c>
      <c r="H74" s="1" t="s">
        <v>297</v>
      </c>
      <c r="I74" s="1" t="s">
        <v>13</v>
      </c>
      <c r="J74" s="1" t="s">
        <v>25</v>
      </c>
      <c r="K74" s="1" t="s">
        <v>298</v>
      </c>
      <c r="L74" s="1" t="s">
        <v>59</v>
      </c>
      <c r="M74" s="3"/>
    </row>
    <row r="75" spans="2:13" ht="12.75" x14ac:dyDescent="0.2">
      <c r="B75" s="2">
        <v>43052.532887673609</v>
      </c>
      <c r="C75" s="1" t="s">
        <v>303</v>
      </c>
      <c r="D75" s="1">
        <v>1985</v>
      </c>
      <c r="E75" s="1" t="s">
        <v>296</v>
      </c>
      <c r="F75" s="1" t="s">
        <v>13</v>
      </c>
      <c r="G75" s="1">
        <v>1</v>
      </c>
      <c r="H75" s="1" t="s">
        <v>304</v>
      </c>
      <c r="I75" s="1" t="s">
        <v>13</v>
      </c>
      <c r="J75" s="1" t="s">
        <v>25</v>
      </c>
      <c r="K75" s="1" t="s">
        <v>298</v>
      </c>
      <c r="L75" s="1" t="s">
        <v>59</v>
      </c>
      <c r="M75" s="3"/>
    </row>
    <row r="76" spans="2:13" ht="12.75" x14ac:dyDescent="0.2">
      <c r="B76" s="2">
        <v>43052.884442627314</v>
      </c>
      <c r="C76" s="1" t="s">
        <v>305</v>
      </c>
      <c r="D76" s="1">
        <v>1977</v>
      </c>
      <c r="E76" s="1" t="s">
        <v>306</v>
      </c>
      <c r="F76" s="1" t="s">
        <v>13</v>
      </c>
      <c r="G76" s="1" t="s">
        <v>307</v>
      </c>
      <c r="H76" s="1" t="s">
        <v>308</v>
      </c>
      <c r="I76" s="1" t="s">
        <v>13</v>
      </c>
      <c r="J76" s="1" t="s">
        <v>13</v>
      </c>
      <c r="K76" s="1" t="s">
        <v>309</v>
      </c>
      <c r="L76" s="1" t="s">
        <v>310</v>
      </c>
      <c r="M76" s="3"/>
    </row>
    <row r="77" spans="2:13" ht="12.75" x14ac:dyDescent="0.2">
      <c r="B77" s="2">
        <v>43053.593694189811</v>
      </c>
      <c r="C77" s="1" t="s">
        <v>311</v>
      </c>
      <c r="D77" s="1">
        <v>1985</v>
      </c>
      <c r="E77" s="1">
        <v>919677111806</v>
      </c>
      <c r="F77" s="1" t="s">
        <v>13</v>
      </c>
      <c r="G77" s="1" t="s">
        <v>221</v>
      </c>
      <c r="H77" s="1" t="s">
        <v>35</v>
      </c>
      <c r="I77" s="1" t="s">
        <v>13</v>
      </c>
      <c r="J77" s="1" t="s">
        <v>13</v>
      </c>
      <c r="K77" s="1" t="s">
        <v>312</v>
      </c>
      <c r="L77" s="1" t="s">
        <v>313</v>
      </c>
      <c r="M77" s="3"/>
    </row>
    <row r="78" spans="2:13" ht="12.75" x14ac:dyDescent="0.2">
      <c r="B78" s="2">
        <v>43054.345514618057</v>
      </c>
      <c r="C78" s="1" t="s">
        <v>314</v>
      </c>
      <c r="D78" s="1">
        <v>2002</v>
      </c>
      <c r="E78" s="1" t="s">
        <v>315</v>
      </c>
      <c r="F78" s="1" t="s">
        <v>13</v>
      </c>
      <c r="G78" s="1">
        <v>1</v>
      </c>
      <c r="H78" s="1" t="s">
        <v>15</v>
      </c>
      <c r="I78" s="1" t="s">
        <v>25</v>
      </c>
      <c r="J78" s="1" t="s">
        <v>13</v>
      </c>
      <c r="K78" s="1" t="s">
        <v>316</v>
      </c>
      <c r="L78" s="1" t="s">
        <v>59</v>
      </c>
      <c r="M78" s="3"/>
    </row>
    <row r="79" spans="2:13" ht="12.75" x14ac:dyDescent="0.2">
      <c r="B79" s="2">
        <v>43054.409396365736</v>
      </c>
      <c r="C79" s="1" t="s">
        <v>317</v>
      </c>
      <c r="D79" s="1">
        <v>1962</v>
      </c>
      <c r="E79" s="1" t="s">
        <v>318</v>
      </c>
      <c r="F79" s="1" t="s">
        <v>13</v>
      </c>
      <c r="G79" s="1">
        <v>2</v>
      </c>
      <c r="H79" s="1" t="s">
        <v>20</v>
      </c>
      <c r="I79" s="1" t="s">
        <v>13</v>
      </c>
      <c r="J79" s="1" t="s">
        <v>13</v>
      </c>
      <c r="K79" s="1" t="s">
        <v>319</v>
      </c>
      <c r="L79" s="1" t="s">
        <v>320</v>
      </c>
      <c r="M79" s="3"/>
    </row>
    <row r="80" spans="2:13" ht="12.75" x14ac:dyDescent="0.2">
      <c r="B80" s="2">
        <v>43054.666877418982</v>
      </c>
      <c r="C80" s="1" t="s">
        <v>321</v>
      </c>
      <c r="D80" s="1">
        <v>1988</v>
      </c>
      <c r="E80" s="1" t="s">
        <v>322</v>
      </c>
      <c r="F80" s="1" t="s">
        <v>13</v>
      </c>
      <c r="G80" s="1" t="s">
        <v>323</v>
      </c>
      <c r="H80" s="1" t="s">
        <v>15</v>
      </c>
      <c r="I80" s="1" t="s">
        <v>13</v>
      </c>
      <c r="J80" s="1" t="s">
        <v>13</v>
      </c>
      <c r="K80" s="1" t="s">
        <v>324</v>
      </c>
      <c r="L80" s="1" t="s">
        <v>59</v>
      </c>
      <c r="M80" s="3"/>
    </row>
    <row r="81" spans="2:13" ht="12.75" x14ac:dyDescent="0.2">
      <c r="B81" s="2">
        <v>43054.8170359375</v>
      </c>
      <c r="C81" s="1" t="s">
        <v>325</v>
      </c>
      <c r="D81" s="1">
        <v>1964</v>
      </c>
      <c r="E81" s="1">
        <v>919840113782</v>
      </c>
      <c r="F81" s="1" t="s">
        <v>13</v>
      </c>
      <c r="G81" s="1">
        <v>3</v>
      </c>
      <c r="H81" s="1" t="s">
        <v>35</v>
      </c>
      <c r="I81" s="1" t="s">
        <v>13</v>
      </c>
      <c r="J81" s="1" t="s">
        <v>13</v>
      </c>
      <c r="K81" s="1" t="s">
        <v>326</v>
      </c>
      <c r="L81" s="1" t="s">
        <v>59</v>
      </c>
      <c r="M81" s="3"/>
    </row>
    <row r="82" spans="2:13" ht="12.75" x14ac:dyDescent="0.2">
      <c r="B82" s="2">
        <v>43055.527546145837</v>
      </c>
      <c r="C82" s="1" t="s">
        <v>327</v>
      </c>
      <c r="D82" s="1">
        <v>1966</v>
      </c>
      <c r="E82" s="1" t="s">
        <v>328</v>
      </c>
      <c r="F82" s="1" t="s">
        <v>13</v>
      </c>
      <c r="G82" s="1" t="s">
        <v>101</v>
      </c>
      <c r="H82" s="1" t="s">
        <v>41</v>
      </c>
      <c r="I82" s="1" t="s">
        <v>25</v>
      </c>
      <c r="J82" s="1" t="s">
        <v>25</v>
      </c>
      <c r="K82" s="1" t="s">
        <v>329</v>
      </c>
      <c r="L82" s="1" t="s">
        <v>17</v>
      </c>
      <c r="M82" s="3"/>
    </row>
    <row r="83" spans="2:13" ht="12.75" x14ac:dyDescent="0.2">
      <c r="B83" s="2">
        <v>43055.773026932875</v>
      </c>
      <c r="C83" s="1" t="s">
        <v>330</v>
      </c>
      <c r="D83" s="1">
        <v>1982</v>
      </c>
      <c r="E83" s="1" t="s">
        <v>331</v>
      </c>
      <c r="F83" s="1" t="s">
        <v>13</v>
      </c>
      <c r="G83" s="1" t="s">
        <v>101</v>
      </c>
      <c r="H83" s="1" t="s">
        <v>141</v>
      </c>
      <c r="I83" s="1" t="s">
        <v>25</v>
      </c>
      <c r="J83" s="1" t="s">
        <v>25</v>
      </c>
      <c r="K83" s="1" t="s">
        <v>332</v>
      </c>
      <c r="L83" s="1" t="s">
        <v>17</v>
      </c>
      <c r="M83" s="3"/>
    </row>
    <row r="84" spans="2:13" ht="12.75" x14ac:dyDescent="0.2">
      <c r="B84" s="2">
        <v>43055.802225983796</v>
      </c>
      <c r="C84" s="1" t="s">
        <v>333</v>
      </c>
      <c r="D84" s="1">
        <v>1980</v>
      </c>
      <c r="E84" s="1" t="s">
        <v>334</v>
      </c>
      <c r="F84" s="1" t="s">
        <v>13</v>
      </c>
      <c r="G84" s="1" t="s">
        <v>250</v>
      </c>
      <c r="H84" s="1" t="s">
        <v>41</v>
      </c>
      <c r="I84" s="1" t="s">
        <v>13</v>
      </c>
      <c r="J84" s="1" t="s">
        <v>13</v>
      </c>
      <c r="K84" s="1" t="s">
        <v>335</v>
      </c>
      <c r="L84" s="1" t="s">
        <v>146</v>
      </c>
      <c r="M84" s="3"/>
    </row>
    <row r="85" spans="2:13" ht="12.75" x14ac:dyDescent="0.2">
      <c r="B85" s="2">
        <v>43055.808690243051</v>
      </c>
      <c r="C85" s="1" t="s">
        <v>336</v>
      </c>
      <c r="D85" s="1">
        <v>1988</v>
      </c>
      <c r="E85" s="1" t="s">
        <v>331</v>
      </c>
      <c r="F85" s="1" t="s">
        <v>13</v>
      </c>
      <c r="G85" s="1" t="s">
        <v>30</v>
      </c>
      <c r="H85" s="1" t="s">
        <v>141</v>
      </c>
      <c r="I85" s="1" t="s">
        <v>13</v>
      </c>
      <c r="J85" s="1" t="s">
        <v>13</v>
      </c>
      <c r="K85" s="1" t="s">
        <v>337</v>
      </c>
      <c r="L85" s="1" t="s">
        <v>338</v>
      </c>
      <c r="M85" s="3"/>
    </row>
    <row r="86" spans="2:13" ht="12.75" x14ac:dyDescent="0.2">
      <c r="B86" s="2">
        <v>43056.342847719905</v>
      </c>
      <c r="C86" s="1" t="s">
        <v>339</v>
      </c>
      <c r="D86" s="1">
        <v>1985</v>
      </c>
      <c r="E86" s="1">
        <v>61404967257</v>
      </c>
      <c r="F86" s="1" t="s">
        <v>25</v>
      </c>
      <c r="G86" s="1">
        <v>0</v>
      </c>
      <c r="H86" s="1" t="s">
        <v>340</v>
      </c>
      <c r="I86" s="1" t="s">
        <v>25</v>
      </c>
      <c r="J86" s="1" t="s">
        <v>25</v>
      </c>
      <c r="K86" s="1" t="s">
        <v>341</v>
      </c>
      <c r="L86" s="1" t="s">
        <v>342</v>
      </c>
      <c r="M86" s="3"/>
    </row>
    <row r="87" spans="2:13" ht="12.75" x14ac:dyDescent="0.2">
      <c r="B87" s="2">
        <v>43056.458616597221</v>
      </c>
      <c r="C87" s="1" t="s">
        <v>343</v>
      </c>
      <c r="D87" s="1">
        <v>1966</v>
      </c>
      <c r="E87" s="1" t="s">
        <v>344</v>
      </c>
      <c r="F87" s="1" t="s">
        <v>13</v>
      </c>
      <c r="G87" s="1" t="s">
        <v>101</v>
      </c>
      <c r="H87" s="1" t="s">
        <v>41</v>
      </c>
      <c r="I87" s="1" t="s">
        <v>25</v>
      </c>
      <c r="J87" s="1" t="s">
        <v>25</v>
      </c>
      <c r="K87" s="1" t="s">
        <v>345</v>
      </c>
      <c r="L87" s="1" t="s">
        <v>193</v>
      </c>
      <c r="M87" s="3"/>
    </row>
    <row r="88" spans="2:13" ht="12.75" x14ac:dyDescent="0.2">
      <c r="B88" s="2">
        <v>43057.101270069441</v>
      </c>
      <c r="C88" s="1" t="s">
        <v>346</v>
      </c>
      <c r="D88" s="1">
        <v>1980</v>
      </c>
      <c r="E88" s="1">
        <v>971506333947</v>
      </c>
      <c r="F88" s="1" t="s">
        <v>25</v>
      </c>
      <c r="G88" s="1" t="s">
        <v>45</v>
      </c>
      <c r="H88" s="1" t="s">
        <v>50</v>
      </c>
      <c r="I88" s="1" t="s">
        <v>13</v>
      </c>
      <c r="J88" s="1" t="s">
        <v>13</v>
      </c>
      <c r="K88" s="1" t="s">
        <v>347</v>
      </c>
      <c r="L88" s="1" t="s">
        <v>348</v>
      </c>
      <c r="M88" s="3"/>
    </row>
    <row r="89" spans="2:13" ht="12.75" x14ac:dyDescent="0.2">
      <c r="B89" s="2">
        <v>43057.103388807867</v>
      </c>
      <c r="C89" s="1" t="s">
        <v>349</v>
      </c>
      <c r="D89" s="1">
        <v>1975</v>
      </c>
      <c r="E89" s="1">
        <v>971505270996</v>
      </c>
      <c r="F89" s="1" t="s">
        <v>25</v>
      </c>
      <c r="G89" s="1" t="s">
        <v>45</v>
      </c>
      <c r="H89" s="1" t="s">
        <v>50</v>
      </c>
      <c r="I89" s="1" t="s">
        <v>13</v>
      </c>
      <c r="J89" s="1" t="s">
        <v>13</v>
      </c>
      <c r="K89" s="1" t="s">
        <v>350</v>
      </c>
      <c r="L89" s="1" t="s">
        <v>351</v>
      </c>
      <c r="M89" s="3"/>
    </row>
    <row r="90" spans="2:13" ht="12.75" x14ac:dyDescent="0.2">
      <c r="B90" s="2">
        <v>43057.460580659725</v>
      </c>
      <c r="C90" s="1" t="s">
        <v>352</v>
      </c>
      <c r="D90" s="1">
        <v>1983</v>
      </c>
      <c r="E90" s="1">
        <v>971588159393</v>
      </c>
      <c r="F90" s="1" t="s">
        <v>25</v>
      </c>
      <c r="G90" s="1" t="s">
        <v>45</v>
      </c>
      <c r="H90" s="1" t="s">
        <v>50</v>
      </c>
      <c r="I90" s="1" t="s">
        <v>13</v>
      </c>
      <c r="J90" s="1" t="s">
        <v>13</v>
      </c>
      <c r="K90" s="1" t="s">
        <v>353</v>
      </c>
      <c r="L90" s="1" t="s">
        <v>354</v>
      </c>
      <c r="M90" s="3"/>
    </row>
    <row r="91" spans="2:13" ht="12.75" x14ac:dyDescent="0.2">
      <c r="B91" s="2">
        <v>43057.670314872681</v>
      </c>
      <c r="C91" s="1" t="s">
        <v>355</v>
      </c>
      <c r="D91" s="1">
        <v>1986</v>
      </c>
      <c r="E91" s="1" t="s">
        <v>356</v>
      </c>
      <c r="F91" s="1" t="s">
        <v>13</v>
      </c>
      <c r="G91" s="1">
        <v>1</v>
      </c>
      <c r="H91" s="1" t="s">
        <v>35</v>
      </c>
      <c r="I91" s="1" t="s">
        <v>25</v>
      </c>
      <c r="J91" s="1" t="s">
        <v>13</v>
      </c>
      <c r="K91" s="1" t="s">
        <v>357</v>
      </c>
      <c r="L91" s="1" t="s">
        <v>59</v>
      </c>
      <c r="M91" s="3"/>
    </row>
    <row r="92" spans="2:13" ht="12.75" x14ac:dyDescent="0.2">
      <c r="B92" s="2">
        <v>43058.759150381942</v>
      </c>
      <c r="C92" s="1" t="s">
        <v>358</v>
      </c>
      <c r="D92" s="1">
        <v>1990</v>
      </c>
      <c r="E92" s="1" t="s">
        <v>359</v>
      </c>
      <c r="F92" s="1" t="s">
        <v>13</v>
      </c>
      <c r="G92" s="1">
        <v>1</v>
      </c>
      <c r="H92" s="1" t="s">
        <v>15</v>
      </c>
      <c r="I92" s="1" t="s">
        <v>13</v>
      </c>
      <c r="J92" s="1" t="s">
        <v>25</v>
      </c>
      <c r="K92" s="1" t="s">
        <v>360</v>
      </c>
      <c r="L92" s="1" t="s">
        <v>84</v>
      </c>
      <c r="M92" s="3"/>
    </row>
    <row r="93" spans="2:13" ht="12.75" x14ac:dyDescent="0.2">
      <c r="B93" s="2">
        <v>43058.761493819446</v>
      </c>
      <c r="C93" s="1" t="s">
        <v>361</v>
      </c>
      <c r="D93" s="1">
        <v>1990</v>
      </c>
      <c r="E93" s="1" t="s">
        <v>362</v>
      </c>
      <c r="F93" s="1" t="s">
        <v>13</v>
      </c>
      <c r="G93" s="1">
        <v>1</v>
      </c>
      <c r="H93" s="1" t="s">
        <v>363</v>
      </c>
      <c r="I93" s="1" t="s">
        <v>13</v>
      </c>
      <c r="J93" s="1" t="s">
        <v>25</v>
      </c>
      <c r="K93" s="1" t="s">
        <v>364</v>
      </c>
      <c r="L93" s="1" t="s">
        <v>59</v>
      </c>
      <c r="M93" s="3"/>
    </row>
    <row r="94" spans="2:13" ht="12.75" x14ac:dyDescent="0.2">
      <c r="B94" s="2">
        <v>43059.018535648152</v>
      </c>
      <c r="C94" s="1" t="s">
        <v>365</v>
      </c>
      <c r="D94" s="1">
        <v>1980</v>
      </c>
      <c r="E94" s="1" t="s">
        <v>366</v>
      </c>
      <c r="F94" s="1" t="s">
        <v>13</v>
      </c>
      <c r="G94" s="1" t="s">
        <v>25</v>
      </c>
      <c r="H94" s="1" t="s">
        <v>153</v>
      </c>
      <c r="I94" s="1" t="s">
        <v>13</v>
      </c>
      <c r="J94" s="1" t="s">
        <v>13</v>
      </c>
      <c r="K94" s="1" t="s">
        <v>367</v>
      </c>
      <c r="L94" s="1" t="s">
        <v>368</v>
      </c>
      <c r="M94" s="3"/>
    </row>
    <row r="95" spans="2:13" ht="12.75" x14ac:dyDescent="0.2">
      <c r="B95" s="2">
        <v>43059.435959236114</v>
      </c>
      <c r="C95" s="1" t="s">
        <v>369</v>
      </c>
      <c r="D95" s="1">
        <v>1972</v>
      </c>
      <c r="E95" s="1" t="s">
        <v>370</v>
      </c>
      <c r="F95" s="1" t="s">
        <v>13</v>
      </c>
      <c r="G95" s="1">
        <v>1</v>
      </c>
      <c r="H95" s="1" t="s">
        <v>371</v>
      </c>
      <c r="I95" s="1" t="s">
        <v>13</v>
      </c>
      <c r="J95" s="1" t="s">
        <v>13</v>
      </c>
      <c r="K95" s="1" t="s">
        <v>372</v>
      </c>
      <c r="L95" s="1" t="s">
        <v>320</v>
      </c>
      <c r="M95" s="3"/>
    </row>
    <row r="96" spans="2:13" ht="12.75" x14ac:dyDescent="0.2">
      <c r="B96" s="2">
        <v>43059.791392546293</v>
      </c>
      <c r="C96" s="1" t="s">
        <v>373</v>
      </c>
      <c r="D96" s="1">
        <v>1996</v>
      </c>
      <c r="E96" s="1" t="s">
        <v>374</v>
      </c>
      <c r="F96" s="1" t="s">
        <v>13</v>
      </c>
      <c r="G96" s="1" t="s">
        <v>375</v>
      </c>
      <c r="H96" s="1" t="s">
        <v>376</v>
      </c>
      <c r="I96" s="1" t="s">
        <v>25</v>
      </c>
      <c r="J96" s="1" t="s">
        <v>25</v>
      </c>
      <c r="K96" s="1" t="s">
        <v>377</v>
      </c>
      <c r="L96" s="1" t="s">
        <v>89</v>
      </c>
      <c r="M96" s="3"/>
    </row>
    <row r="97" spans="2:13" ht="12.75" x14ac:dyDescent="0.2">
      <c r="B97" s="2">
        <v>43060.297700960647</v>
      </c>
      <c r="C97" s="1" t="s">
        <v>378</v>
      </c>
      <c r="D97" s="1">
        <v>1965</v>
      </c>
      <c r="E97" s="1" t="s">
        <v>379</v>
      </c>
      <c r="F97" s="1" t="s">
        <v>13</v>
      </c>
      <c r="G97" s="1">
        <v>3</v>
      </c>
      <c r="H97" s="1" t="s">
        <v>380</v>
      </c>
      <c r="I97" s="1" t="s">
        <v>25</v>
      </c>
      <c r="J97" s="1" t="s">
        <v>13</v>
      </c>
      <c r="K97" s="1" t="s">
        <v>381</v>
      </c>
      <c r="L97" s="1" t="s">
        <v>17</v>
      </c>
      <c r="M97" s="3"/>
    </row>
    <row r="98" spans="2:13" ht="12.75" x14ac:dyDescent="0.2">
      <c r="B98" s="2">
        <v>43060.319249490742</v>
      </c>
      <c r="C98" s="1" t="s">
        <v>382</v>
      </c>
      <c r="D98" s="1">
        <v>1977</v>
      </c>
      <c r="E98" s="1" t="s">
        <v>383</v>
      </c>
      <c r="F98" s="1" t="s">
        <v>13</v>
      </c>
      <c r="G98" s="1" t="s">
        <v>384</v>
      </c>
      <c r="H98" s="1" t="s">
        <v>385</v>
      </c>
      <c r="I98" s="1" t="s">
        <v>13</v>
      </c>
      <c r="J98" s="1" t="s">
        <v>13</v>
      </c>
      <c r="K98" s="1" t="s">
        <v>386</v>
      </c>
      <c r="L98" s="1" t="s">
        <v>226</v>
      </c>
      <c r="M98" s="3"/>
    </row>
    <row r="99" spans="2:13" ht="12.75" x14ac:dyDescent="0.2">
      <c r="B99" s="2">
        <v>43060.31993125</v>
      </c>
      <c r="C99" s="1" t="s">
        <v>387</v>
      </c>
      <c r="D99" s="1">
        <v>1966</v>
      </c>
      <c r="E99" s="1" t="s">
        <v>388</v>
      </c>
      <c r="F99" s="1" t="s">
        <v>13</v>
      </c>
      <c r="G99" s="1" t="s">
        <v>101</v>
      </c>
      <c r="H99" s="1" t="s">
        <v>20</v>
      </c>
      <c r="I99" s="1" t="s">
        <v>13</v>
      </c>
      <c r="J99" s="1" t="s">
        <v>25</v>
      </c>
      <c r="K99" s="1" t="s">
        <v>389</v>
      </c>
      <c r="L99" s="1" t="s">
        <v>390</v>
      </c>
      <c r="M99" s="3"/>
    </row>
    <row r="100" spans="2:13" ht="12.75" x14ac:dyDescent="0.2">
      <c r="B100" s="2">
        <v>43060.320962673606</v>
      </c>
      <c r="C100" s="1" t="s">
        <v>391</v>
      </c>
      <c r="D100" s="1">
        <v>1983</v>
      </c>
      <c r="E100" s="1" t="s">
        <v>392</v>
      </c>
      <c r="F100" s="1" t="s">
        <v>13</v>
      </c>
      <c r="G100" s="1" t="s">
        <v>250</v>
      </c>
      <c r="H100" s="1" t="s">
        <v>35</v>
      </c>
      <c r="I100" s="1" t="s">
        <v>13</v>
      </c>
      <c r="J100" s="1" t="s">
        <v>13</v>
      </c>
      <c r="K100" s="1" t="s">
        <v>393</v>
      </c>
      <c r="L100" s="1" t="s">
        <v>226</v>
      </c>
      <c r="M100" s="3"/>
    </row>
    <row r="101" spans="2:13" ht="12.75" x14ac:dyDescent="0.2">
      <c r="B101" s="2">
        <v>43060.323117407403</v>
      </c>
      <c r="C101" s="1" t="s">
        <v>394</v>
      </c>
      <c r="D101" s="1">
        <v>1988</v>
      </c>
      <c r="E101" s="1" t="s">
        <v>395</v>
      </c>
      <c r="F101" s="1" t="s">
        <v>13</v>
      </c>
      <c r="G101" s="1" t="s">
        <v>250</v>
      </c>
      <c r="H101" s="1" t="s">
        <v>396</v>
      </c>
      <c r="I101" s="1" t="s">
        <v>13</v>
      </c>
      <c r="J101" s="1" t="s">
        <v>13</v>
      </c>
      <c r="K101" s="1" t="s">
        <v>393</v>
      </c>
      <c r="L101" s="1" t="s">
        <v>226</v>
      </c>
      <c r="M101" s="3"/>
    </row>
    <row r="102" spans="2:13" ht="12.75" x14ac:dyDescent="0.2">
      <c r="B102" s="2">
        <v>43060.33114318287</v>
      </c>
      <c r="C102" s="1" t="s">
        <v>397</v>
      </c>
      <c r="D102" s="1">
        <v>1987</v>
      </c>
      <c r="E102" s="1" t="s">
        <v>398</v>
      </c>
      <c r="F102" s="1" t="s">
        <v>13</v>
      </c>
      <c r="G102" s="1" t="s">
        <v>101</v>
      </c>
      <c r="H102" s="1" t="s">
        <v>35</v>
      </c>
      <c r="I102" s="1" t="s">
        <v>25</v>
      </c>
      <c r="J102" s="1" t="s">
        <v>13</v>
      </c>
      <c r="K102" s="1" t="s">
        <v>399</v>
      </c>
      <c r="L102" s="1" t="s">
        <v>400</v>
      </c>
      <c r="M102" s="3"/>
    </row>
    <row r="103" spans="2:13" ht="12.75" x14ac:dyDescent="0.2">
      <c r="B103" s="2">
        <v>43060.361138113425</v>
      </c>
      <c r="C103" s="1" t="s">
        <v>401</v>
      </c>
      <c r="D103" s="1">
        <v>1999</v>
      </c>
      <c r="E103" s="1" t="s">
        <v>402</v>
      </c>
      <c r="F103" s="1" t="s">
        <v>13</v>
      </c>
      <c r="G103" s="1" t="s">
        <v>403</v>
      </c>
      <c r="H103" s="1" t="s">
        <v>35</v>
      </c>
      <c r="I103" s="1" t="s">
        <v>13</v>
      </c>
      <c r="J103" s="1" t="s">
        <v>25</v>
      </c>
      <c r="K103" s="1" t="s">
        <v>404</v>
      </c>
      <c r="L103" s="1" t="s">
        <v>17</v>
      </c>
      <c r="M103" s="3"/>
    </row>
    <row r="104" spans="2:13" ht="12.75" x14ac:dyDescent="0.2">
      <c r="B104" s="2">
        <v>43060.367524479167</v>
      </c>
      <c r="C104" s="1" t="s">
        <v>405</v>
      </c>
      <c r="D104" s="1">
        <v>1992</v>
      </c>
      <c r="E104" s="1" t="s">
        <v>406</v>
      </c>
      <c r="F104" s="1" t="s">
        <v>13</v>
      </c>
      <c r="G104" s="1" t="s">
        <v>101</v>
      </c>
      <c r="H104" s="1" t="s">
        <v>35</v>
      </c>
      <c r="I104" s="1" t="s">
        <v>13</v>
      </c>
      <c r="J104" s="1" t="s">
        <v>25</v>
      </c>
      <c r="K104" s="1" t="s">
        <v>407</v>
      </c>
      <c r="L104" s="1" t="s">
        <v>310</v>
      </c>
      <c r="M104" s="3"/>
    </row>
    <row r="105" spans="2:13" ht="12.75" x14ac:dyDescent="0.2">
      <c r="B105" s="2">
        <v>43060.371461527779</v>
      </c>
      <c r="C105" s="1" t="s">
        <v>408</v>
      </c>
      <c r="D105" s="1">
        <v>1999</v>
      </c>
      <c r="E105" s="1" t="s">
        <v>409</v>
      </c>
      <c r="F105" s="1" t="s">
        <v>13</v>
      </c>
      <c r="G105" s="1">
        <v>2</v>
      </c>
      <c r="H105" s="1" t="s">
        <v>41</v>
      </c>
      <c r="I105" s="1" t="s">
        <v>25</v>
      </c>
      <c r="J105" s="1" t="s">
        <v>25</v>
      </c>
      <c r="K105" s="1" t="s">
        <v>410</v>
      </c>
      <c r="L105" s="1" t="s">
        <v>17</v>
      </c>
      <c r="M105" s="3"/>
    </row>
    <row r="106" spans="2:13" ht="12.75" x14ac:dyDescent="0.2">
      <c r="B106" s="2">
        <v>43060.391536932875</v>
      </c>
      <c r="C106" s="1" t="s">
        <v>411</v>
      </c>
      <c r="D106" s="1">
        <v>1991</v>
      </c>
      <c r="E106" s="1" t="s">
        <v>412</v>
      </c>
      <c r="F106" s="1" t="s">
        <v>13</v>
      </c>
      <c r="G106" s="1">
        <v>1</v>
      </c>
      <c r="H106" s="1" t="s">
        <v>41</v>
      </c>
      <c r="I106" s="1" t="s">
        <v>13</v>
      </c>
      <c r="J106" s="1" t="s">
        <v>13</v>
      </c>
      <c r="K106" s="1" t="s">
        <v>413</v>
      </c>
      <c r="L106" s="1" t="s">
        <v>414</v>
      </c>
      <c r="M106" s="3"/>
    </row>
    <row r="107" spans="2:13" ht="12.75" x14ac:dyDescent="0.2">
      <c r="B107" s="2">
        <v>43060.394396840275</v>
      </c>
      <c r="C107" s="1" t="s">
        <v>415</v>
      </c>
      <c r="D107" s="1">
        <v>1971</v>
      </c>
      <c r="E107" s="1">
        <v>997506512527</v>
      </c>
      <c r="F107" s="1" t="s">
        <v>25</v>
      </c>
      <c r="G107" s="1" t="s">
        <v>45</v>
      </c>
      <c r="H107" s="1" t="s">
        <v>50</v>
      </c>
      <c r="I107" s="1" t="s">
        <v>13</v>
      </c>
      <c r="J107" s="1" t="s">
        <v>13</v>
      </c>
      <c r="K107" s="1" t="s">
        <v>416</v>
      </c>
      <c r="L107" s="1" t="s">
        <v>354</v>
      </c>
      <c r="M107" s="3"/>
    </row>
    <row r="108" spans="2:13" ht="12.75" x14ac:dyDescent="0.2">
      <c r="B108" s="2">
        <v>43060.405688437502</v>
      </c>
      <c r="C108" s="1" t="s">
        <v>417</v>
      </c>
      <c r="D108" s="1">
        <v>1996</v>
      </c>
      <c r="E108" s="1" t="s">
        <v>418</v>
      </c>
      <c r="F108" s="1" t="s">
        <v>13</v>
      </c>
      <c r="G108" s="1" t="s">
        <v>419</v>
      </c>
      <c r="H108" s="1" t="s">
        <v>35</v>
      </c>
      <c r="I108" s="1" t="s">
        <v>25</v>
      </c>
      <c r="J108" s="1" t="s">
        <v>13</v>
      </c>
      <c r="K108" s="1" t="s">
        <v>420</v>
      </c>
      <c r="L108" s="1" t="s">
        <v>17</v>
      </c>
      <c r="M108" s="3"/>
    </row>
    <row r="109" spans="2:13" ht="12.75" x14ac:dyDescent="0.2">
      <c r="B109" s="2">
        <v>43060.410266273146</v>
      </c>
      <c r="C109" s="1" t="s">
        <v>421</v>
      </c>
      <c r="D109" s="1">
        <v>1985</v>
      </c>
      <c r="E109" s="1" t="s">
        <v>422</v>
      </c>
      <c r="F109" s="1" t="s">
        <v>13</v>
      </c>
      <c r="G109" s="1" t="s">
        <v>423</v>
      </c>
      <c r="H109" s="1" t="s">
        <v>41</v>
      </c>
      <c r="I109" s="1" t="s">
        <v>13</v>
      </c>
      <c r="J109" s="1" t="s">
        <v>25</v>
      </c>
      <c r="K109" s="1" t="s">
        <v>424</v>
      </c>
      <c r="L109" s="1" t="s">
        <v>146</v>
      </c>
      <c r="M109" s="3"/>
    </row>
    <row r="110" spans="2:13" ht="12.75" x14ac:dyDescent="0.2">
      <c r="B110" s="2">
        <v>43060.414304618054</v>
      </c>
      <c r="C110" s="1" t="s">
        <v>206</v>
      </c>
      <c r="D110" s="1">
        <v>1981</v>
      </c>
      <c r="E110" s="1" t="s">
        <v>207</v>
      </c>
      <c r="F110" s="1" t="s">
        <v>13</v>
      </c>
      <c r="G110" s="1" t="s">
        <v>101</v>
      </c>
      <c r="H110" s="1" t="s">
        <v>41</v>
      </c>
      <c r="I110" s="1" t="s">
        <v>13</v>
      </c>
      <c r="J110" s="1" t="s">
        <v>13</v>
      </c>
      <c r="K110" s="1" t="s">
        <v>208</v>
      </c>
      <c r="L110" s="1" t="s">
        <v>209</v>
      </c>
      <c r="M110" s="3"/>
    </row>
    <row r="111" spans="2:13" ht="12.75" x14ac:dyDescent="0.2">
      <c r="B111" s="2">
        <v>43060.429350474536</v>
      </c>
      <c r="C111" s="1" t="s">
        <v>425</v>
      </c>
      <c r="D111" s="1">
        <v>1988</v>
      </c>
      <c r="E111" s="1" t="s">
        <v>426</v>
      </c>
      <c r="F111" s="1" t="s">
        <v>13</v>
      </c>
      <c r="G111" s="1" t="s">
        <v>427</v>
      </c>
      <c r="H111" s="1" t="s">
        <v>141</v>
      </c>
      <c r="I111" s="1" t="s">
        <v>13</v>
      </c>
      <c r="J111" s="1" t="s">
        <v>13</v>
      </c>
      <c r="K111" s="1" t="s">
        <v>428</v>
      </c>
      <c r="L111" s="1" t="s">
        <v>59</v>
      </c>
      <c r="M111" s="3"/>
    </row>
    <row r="112" spans="2:13" ht="12.75" x14ac:dyDescent="0.2">
      <c r="B112" s="2">
        <v>43060.435696631946</v>
      </c>
      <c r="C112" s="1" t="s">
        <v>429</v>
      </c>
      <c r="D112" s="1">
        <v>1973</v>
      </c>
      <c r="E112" s="1" t="s">
        <v>430</v>
      </c>
      <c r="F112" s="1" t="s">
        <v>13</v>
      </c>
      <c r="G112" s="1">
        <v>1</v>
      </c>
      <c r="H112" s="1" t="s">
        <v>41</v>
      </c>
      <c r="I112" s="1" t="s">
        <v>25</v>
      </c>
      <c r="J112" s="1" t="s">
        <v>25</v>
      </c>
      <c r="K112" s="1" t="s">
        <v>431</v>
      </c>
      <c r="L112" s="1" t="s">
        <v>17</v>
      </c>
      <c r="M112" s="3"/>
    </row>
    <row r="113" spans="2:13" ht="12.75" x14ac:dyDescent="0.2">
      <c r="B113" s="2">
        <v>43060.438303680552</v>
      </c>
      <c r="C113" s="1" t="s">
        <v>432</v>
      </c>
      <c r="D113" s="1">
        <v>1980</v>
      </c>
      <c r="E113" s="1" t="s">
        <v>433</v>
      </c>
      <c r="F113" s="1" t="s">
        <v>13</v>
      </c>
      <c r="G113" s="1">
        <v>1</v>
      </c>
      <c r="H113" s="1" t="s">
        <v>41</v>
      </c>
      <c r="I113" s="1" t="s">
        <v>13</v>
      </c>
      <c r="J113" s="1" t="s">
        <v>25</v>
      </c>
      <c r="K113" s="1" t="s">
        <v>434</v>
      </c>
      <c r="L113" s="1" t="s">
        <v>176</v>
      </c>
      <c r="M113" s="3"/>
    </row>
    <row r="114" spans="2:13" ht="12.75" x14ac:dyDescent="0.2">
      <c r="B114" s="2">
        <v>43060.444800104167</v>
      </c>
      <c r="C114" s="1" t="s">
        <v>283</v>
      </c>
      <c r="D114" s="1">
        <v>1991</v>
      </c>
      <c r="E114" s="1" t="s">
        <v>435</v>
      </c>
      <c r="F114" s="1" t="s">
        <v>13</v>
      </c>
      <c r="G114" s="1">
        <v>1</v>
      </c>
      <c r="H114" s="1" t="s">
        <v>35</v>
      </c>
      <c r="I114" s="1" t="s">
        <v>13</v>
      </c>
      <c r="J114" s="1" t="s">
        <v>25</v>
      </c>
      <c r="K114" s="1" t="s">
        <v>285</v>
      </c>
      <c r="L114" s="1" t="s">
        <v>286</v>
      </c>
      <c r="M114" s="3"/>
    </row>
    <row r="115" spans="2:13" ht="12.75" x14ac:dyDescent="0.2">
      <c r="B115" s="2">
        <v>43060.464688043983</v>
      </c>
      <c r="C115" s="1" t="s">
        <v>436</v>
      </c>
      <c r="D115" s="1">
        <v>1988</v>
      </c>
      <c r="E115" s="1" t="s">
        <v>437</v>
      </c>
      <c r="F115" s="1" t="s">
        <v>13</v>
      </c>
      <c r="G115" s="1">
        <v>2</v>
      </c>
      <c r="H115" s="1" t="s">
        <v>438</v>
      </c>
      <c r="I115" s="1" t="s">
        <v>25</v>
      </c>
      <c r="J115" s="1" t="s">
        <v>13</v>
      </c>
      <c r="K115" s="1" t="s">
        <v>439</v>
      </c>
      <c r="L115" s="1" t="s">
        <v>84</v>
      </c>
      <c r="M115" s="3"/>
    </row>
    <row r="116" spans="2:13" ht="12.75" x14ac:dyDescent="0.2">
      <c r="B116" s="2">
        <v>43060.517372407412</v>
      </c>
      <c r="C116" s="1" t="s">
        <v>440</v>
      </c>
      <c r="D116" s="1">
        <v>1988</v>
      </c>
      <c r="E116" s="1" t="s">
        <v>441</v>
      </c>
      <c r="F116" s="1" t="s">
        <v>13</v>
      </c>
      <c r="G116" s="1" t="s">
        <v>442</v>
      </c>
      <c r="H116" s="1" t="s">
        <v>41</v>
      </c>
      <c r="I116" s="1" t="s">
        <v>13</v>
      </c>
      <c r="J116" s="1" t="s">
        <v>13</v>
      </c>
      <c r="K116" s="1" t="s">
        <v>443</v>
      </c>
      <c r="L116" s="1" t="s">
        <v>176</v>
      </c>
      <c r="M116" s="3"/>
    </row>
    <row r="117" spans="2:13" ht="12.75" x14ac:dyDescent="0.2">
      <c r="B117" s="2">
        <v>43060.523082129628</v>
      </c>
      <c r="C117" s="1" t="s">
        <v>444</v>
      </c>
      <c r="D117" s="1">
        <v>1979</v>
      </c>
      <c r="E117" s="1">
        <v>612423532164</v>
      </c>
      <c r="F117" s="1" t="s">
        <v>13</v>
      </c>
      <c r="G117" s="1" t="s">
        <v>40</v>
      </c>
      <c r="H117" s="1" t="s">
        <v>141</v>
      </c>
      <c r="I117" s="1" t="s">
        <v>13</v>
      </c>
      <c r="J117" s="1" t="s">
        <v>13</v>
      </c>
      <c r="K117" s="1" t="s">
        <v>445</v>
      </c>
      <c r="L117" s="1" t="s">
        <v>446</v>
      </c>
      <c r="M117" s="3"/>
    </row>
    <row r="118" spans="2:13" ht="12.75" x14ac:dyDescent="0.2">
      <c r="B118" s="2">
        <v>43060.539479837964</v>
      </c>
      <c r="C118" s="1" t="s">
        <v>447</v>
      </c>
      <c r="D118" s="1">
        <v>1978</v>
      </c>
      <c r="E118" s="1">
        <v>919840044411</v>
      </c>
      <c r="F118" s="1" t="s">
        <v>13</v>
      </c>
      <c r="G118" s="1" t="s">
        <v>448</v>
      </c>
      <c r="H118" s="1" t="s">
        <v>449</v>
      </c>
      <c r="I118" s="1" t="s">
        <v>13</v>
      </c>
      <c r="J118" s="1" t="s">
        <v>13</v>
      </c>
      <c r="K118" s="1" t="s">
        <v>450</v>
      </c>
      <c r="L118" s="1" t="s">
        <v>451</v>
      </c>
      <c r="M118" s="3"/>
    </row>
    <row r="119" spans="2:13" ht="12.75" x14ac:dyDescent="0.2">
      <c r="B119" s="2">
        <v>43060.572748298611</v>
      </c>
      <c r="C119" s="1" t="s">
        <v>452</v>
      </c>
      <c r="D119" s="1">
        <v>1979</v>
      </c>
      <c r="E119" s="1" t="s">
        <v>453</v>
      </c>
      <c r="F119" s="1" t="s">
        <v>25</v>
      </c>
      <c r="G119" s="1">
        <v>0</v>
      </c>
      <c r="H119" s="1" t="s">
        <v>44</v>
      </c>
      <c r="I119" s="1" t="s">
        <v>13</v>
      </c>
      <c r="J119" s="1" t="s">
        <v>25</v>
      </c>
      <c r="K119" s="1" t="s">
        <v>454</v>
      </c>
      <c r="L119" s="1" t="s">
        <v>455</v>
      </c>
      <c r="M119" s="3"/>
    </row>
    <row r="120" spans="2:13" ht="12.75" x14ac:dyDescent="0.2">
      <c r="B120" s="2">
        <v>43060.583295937497</v>
      </c>
      <c r="C120" s="1" t="s">
        <v>456</v>
      </c>
      <c r="D120" s="1">
        <v>1979</v>
      </c>
      <c r="E120" s="1" t="s">
        <v>457</v>
      </c>
      <c r="F120" s="1" t="s">
        <v>13</v>
      </c>
      <c r="G120" s="1">
        <v>2</v>
      </c>
      <c r="H120" s="1" t="s">
        <v>15</v>
      </c>
      <c r="I120" s="1" t="s">
        <v>25</v>
      </c>
      <c r="J120" s="1" t="s">
        <v>13</v>
      </c>
      <c r="K120" s="1" t="s">
        <v>458</v>
      </c>
      <c r="L120" s="1" t="s">
        <v>59</v>
      </c>
      <c r="M120" s="3"/>
    </row>
    <row r="121" spans="2:13" ht="12.75" x14ac:dyDescent="0.2">
      <c r="B121" s="2">
        <v>43060.585748171296</v>
      </c>
      <c r="C121" s="1" t="s">
        <v>459</v>
      </c>
      <c r="D121" s="1">
        <v>1971</v>
      </c>
      <c r="E121" s="1" t="s">
        <v>460</v>
      </c>
      <c r="F121" s="1" t="s">
        <v>13</v>
      </c>
      <c r="G121" s="1" t="s">
        <v>461</v>
      </c>
      <c r="H121" s="1" t="s">
        <v>35</v>
      </c>
      <c r="I121" s="1" t="s">
        <v>13</v>
      </c>
      <c r="J121" s="1" t="s">
        <v>25</v>
      </c>
      <c r="K121" s="1" t="s">
        <v>462</v>
      </c>
      <c r="L121" s="1" t="s">
        <v>146</v>
      </c>
      <c r="M121" s="3"/>
    </row>
    <row r="122" spans="2:13" ht="12.75" x14ac:dyDescent="0.2">
      <c r="B122" s="2">
        <v>43060.618017696761</v>
      </c>
      <c r="C122" s="1" t="s">
        <v>463</v>
      </c>
      <c r="D122" s="1">
        <v>1987</v>
      </c>
      <c r="E122" s="1" t="s">
        <v>464</v>
      </c>
      <c r="F122" s="1" t="s">
        <v>13</v>
      </c>
      <c r="G122" s="1" t="s">
        <v>101</v>
      </c>
      <c r="H122" s="1" t="s">
        <v>35</v>
      </c>
      <c r="I122" s="1" t="s">
        <v>25</v>
      </c>
      <c r="J122" s="1" t="s">
        <v>25</v>
      </c>
      <c r="K122" s="1" t="s">
        <v>465</v>
      </c>
      <c r="L122" s="1" t="s">
        <v>59</v>
      </c>
      <c r="M122" s="3"/>
    </row>
    <row r="123" spans="2:13" ht="12.75" x14ac:dyDescent="0.2">
      <c r="B123" s="2">
        <v>43060.621129305553</v>
      </c>
      <c r="C123" s="1" t="s">
        <v>466</v>
      </c>
      <c r="D123" s="1">
        <v>1975</v>
      </c>
      <c r="E123" s="1" t="s">
        <v>467</v>
      </c>
      <c r="F123" s="1" t="s">
        <v>13</v>
      </c>
      <c r="G123" s="1">
        <v>1</v>
      </c>
      <c r="H123" s="1" t="s">
        <v>15</v>
      </c>
      <c r="I123" s="1" t="s">
        <v>13</v>
      </c>
      <c r="J123" s="1" t="s">
        <v>13</v>
      </c>
      <c r="K123" s="1" t="s">
        <v>468</v>
      </c>
      <c r="L123" s="1" t="s">
        <v>469</v>
      </c>
      <c r="M123" s="3"/>
    </row>
    <row r="124" spans="2:13" ht="12.75" x14ac:dyDescent="0.2">
      <c r="B124" s="2">
        <v>43060.630497743055</v>
      </c>
      <c r="C124" s="1" t="s">
        <v>470</v>
      </c>
      <c r="D124" s="1">
        <v>1979</v>
      </c>
      <c r="E124" s="1" t="s">
        <v>471</v>
      </c>
      <c r="F124" s="1" t="s">
        <v>13</v>
      </c>
      <c r="G124" s="1" t="s">
        <v>101</v>
      </c>
      <c r="H124" s="1" t="s">
        <v>41</v>
      </c>
      <c r="I124" s="1" t="s">
        <v>13</v>
      </c>
      <c r="J124" s="1" t="s">
        <v>25</v>
      </c>
      <c r="K124" s="1" t="s">
        <v>472</v>
      </c>
      <c r="L124" s="1" t="s">
        <v>473</v>
      </c>
      <c r="M124" s="3"/>
    </row>
    <row r="125" spans="2:13" ht="12.75" x14ac:dyDescent="0.2">
      <c r="B125" s="2">
        <v>43060.657915162039</v>
      </c>
      <c r="C125" s="1" t="s">
        <v>474</v>
      </c>
      <c r="D125" s="1">
        <v>1985</v>
      </c>
      <c r="E125" s="1" t="s">
        <v>422</v>
      </c>
      <c r="F125" s="1" t="s">
        <v>13</v>
      </c>
      <c r="G125" s="1" t="s">
        <v>423</v>
      </c>
      <c r="H125" s="1" t="s">
        <v>41</v>
      </c>
      <c r="I125" s="1" t="s">
        <v>13</v>
      </c>
      <c r="J125" s="1" t="s">
        <v>25</v>
      </c>
      <c r="K125" s="1" t="s">
        <v>424</v>
      </c>
      <c r="L125" s="1" t="s">
        <v>146</v>
      </c>
      <c r="M125" s="3"/>
    </row>
    <row r="126" spans="2:13" ht="12.75" x14ac:dyDescent="0.2">
      <c r="B126" s="2">
        <v>43060.717228958332</v>
      </c>
      <c r="C126" s="1" t="s">
        <v>475</v>
      </c>
      <c r="D126" s="1">
        <v>1967</v>
      </c>
      <c r="E126" s="1" t="s">
        <v>476</v>
      </c>
      <c r="F126" s="1" t="s">
        <v>13</v>
      </c>
      <c r="G126" s="1" t="s">
        <v>101</v>
      </c>
      <c r="H126" s="1" t="s">
        <v>41</v>
      </c>
      <c r="I126" s="1" t="s">
        <v>25</v>
      </c>
      <c r="J126" s="1" t="s">
        <v>25</v>
      </c>
      <c r="K126" s="1" t="s">
        <v>477</v>
      </c>
      <c r="L126" s="1" t="s">
        <v>17</v>
      </c>
      <c r="M126" s="3"/>
    </row>
    <row r="127" spans="2:13" ht="12.75" x14ac:dyDescent="0.2">
      <c r="B127" s="2">
        <v>43060.843803194446</v>
      </c>
      <c r="C127" s="1" t="s">
        <v>478</v>
      </c>
      <c r="D127" s="1">
        <v>1988</v>
      </c>
      <c r="E127" s="1" t="s">
        <v>479</v>
      </c>
      <c r="F127" s="1" t="s">
        <v>13</v>
      </c>
      <c r="G127" s="1" t="s">
        <v>250</v>
      </c>
      <c r="H127" s="1" t="s">
        <v>438</v>
      </c>
      <c r="I127" s="1" t="s">
        <v>13</v>
      </c>
      <c r="J127" s="1" t="s">
        <v>13</v>
      </c>
      <c r="K127" s="1" t="s">
        <v>480</v>
      </c>
      <c r="L127" s="1" t="s">
        <v>84</v>
      </c>
      <c r="M127" s="3"/>
    </row>
    <row r="128" spans="2:13" ht="12.75" x14ac:dyDescent="0.2">
      <c r="B128" s="2">
        <v>43060.892592997683</v>
      </c>
      <c r="C128" s="1" t="s">
        <v>305</v>
      </c>
      <c r="D128" s="1">
        <v>1977</v>
      </c>
      <c r="E128" s="1" t="s">
        <v>306</v>
      </c>
      <c r="F128" s="1" t="s">
        <v>13</v>
      </c>
      <c r="G128" s="1" t="s">
        <v>307</v>
      </c>
      <c r="H128" s="1" t="s">
        <v>308</v>
      </c>
      <c r="I128" s="1" t="s">
        <v>13</v>
      </c>
      <c r="J128" s="1" t="s">
        <v>13</v>
      </c>
      <c r="K128" s="1" t="s">
        <v>309</v>
      </c>
      <c r="L128" s="1" t="s">
        <v>481</v>
      </c>
      <c r="M128" s="3"/>
    </row>
    <row r="129" spans="2:13" ht="12.75" x14ac:dyDescent="0.2">
      <c r="B129" s="2">
        <v>43060.907426331018</v>
      </c>
      <c r="C129" s="1" t="s">
        <v>482</v>
      </c>
      <c r="D129" s="1">
        <v>1979</v>
      </c>
      <c r="E129" s="1" t="s">
        <v>483</v>
      </c>
      <c r="F129" s="1" t="s">
        <v>13</v>
      </c>
      <c r="G129" s="1">
        <v>1</v>
      </c>
      <c r="H129" s="1" t="s">
        <v>484</v>
      </c>
      <c r="I129" s="1" t="s">
        <v>13</v>
      </c>
      <c r="J129" s="1" t="s">
        <v>13</v>
      </c>
      <c r="K129" s="1" t="s">
        <v>485</v>
      </c>
      <c r="L129" s="1" t="s">
        <v>486</v>
      </c>
      <c r="M129" s="3"/>
    </row>
    <row r="130" spans="2:13" ht="12.75" x14ac:dyDescent="0.2">
      <c r="B130" s="2">
        <v>43060.997279293981</v>
      </c>
      <c r="C130" s="1" t="s">
        <v>487</v>
      </c>
      <c r="D130" s="1">
        <v>1974</v>
      </c>
      <c r="E130" s="1" t="s">
        <v>488</v>
      </c>
      <c r="F130" s="1" t="s">
        <v>13</v>
      </c>
      <c r="G130" s="1" t="s">
        <v>40</v>
      </c>
      <c r="H130" s="1" t="s">
        <v>41</v>
      </c>
      <c r="I130" s="1" t="s">
        <v>25</v>
      </c>
      <c r="J130" s="1" t="s">
        <v>25</v>
      </c>
      <c r="K130" s="1" t="s">
        <v>489</v>
      </c>
      <c r="L130" s="1" t="s">
        <v>490</v>
      </c>
      <c r="M130" s="3"/>
    </row>
    <row r="131" spans="2:13" ht="12.75" x14ac:dyDescent="0.2">
      <c r="B131" s="2">
        <v>43061.088254340277</v>
      </c>
      <c r="C131" s="1" t="s">
        <v>491</v>
      </c>
      <c r="D131" s="1">
        <v>1979</v>
      </c>
      <c r="E131" s="1" t="s">
        <v>492</v>
      </c>
      <c r="F131" s="1" t="s">
        <v>13</v>
      </c>
      <c r="G131" s="1" t="s">
        <v>493</v>
      </c>
      <c r="H131" s="1" t="s">
        <v>41</v>
      </c>
      <c r="I131" s="1" t="s">
        <v>13</v>
      </c>
      <c r="J131" s="1" t="s">
        <v>13</v>
      </c>
      <c r="K131" s="1" t="s">
        <v>494</v>
      </c>
      <c r="L131" s="1" t="s">
        <v>59</v>
      </c>
      <c r="M131" s="3"/>
    </row>
    <row r="132" spans="2:13" ht="12.75" x14ac:dyDescent="0.2">
      <c r="B132" s="2">
        <v>43061.356059317128</v>
      </c>
      <c r="C132" s="1" t="s">
        <v>127</v>
      </c>
      <c r="D132" s="1">
        <v>1983</v>
      </c>
      <c r="E132" s="1" t="s">
        <v>495</v>
      </c>
      <c r="F132" s="1" t="s">
        <v>13</v>
      </c>
      <c r="G132" s="1">
        <v>0</v>
      </c>
      <c r="H132" s="1" t="s">
        <v>496</v>
      </c>
      <c r="I132" s="1" t="s">
        <v>25</v>
      </c>
      <c r="J132" s="1" t="s">
        <v>25</v>
      </c>
      <c r="K132" s="1" t="s">
        <v>497</v>
      </c>
      <c r="L132" s="1" t="s">
        <v>59</v>
      </c>
      <c r="M132" s="1"/>
    </row>
    <row r="133" spans="2:13" ht="12.75" x14ac:dyDescent="0.2">
      <c r="B133" s="2">
        <v>43061.356917303245</v>
      </c>
      <c r="C133" s="1" t="s">
        <v>498</v>
      </c>
      <c r="D133" s="1">
        <v>1987</v>
      </c>
      <c r="E133" s="1" t="s">
        <v>495</v>
      </c>
      <c r="F133" s="1" t="s">
        <v>13</v>
      </c>
      <c r="G133" s="1">
        <v>0</v>
      </c>
      <c r="H133" s="1" t="s">
        <v>41</v>
      </c>
      <c r="I133" s="1" t="s">
        <v>25</v>
      </c>
      <c r="J133" s="1" t="s">
        <v>25</v>
      </c>
      <c r="K133" s="1" t="s">
        <v>497</v>
      </c>
      <c r="L133" s="1" t="s">
        <v>205</v>
      </c>
      <c r="M133" s="1"/>
    </row>
    <row r="134" spans="2:13" ht="12.75" x14ac:dyDescent="0.2">
      <c r="B134" s="2">
        <v>43061.357956527776</v>
      </c>
      <c r="C134" s="1" t="s">
        <v>499</v>
      </c>
      <c r="D134" s="1">
        <v>1992</v>
      </c>
      <c r="E134" s="1" t="s">
        <v>495</v>
      </c>
      <c r="F134" s="1" t="s">
        <v>13</v>
      </c>
      <c r="G134" s="1">
        <v>0</v>
      </c>
      <c r="H134" s="1" t="s">
        <v>41</v>
      </c>
      <c r="I134" s="1" t="s">
        <v>13</v>
      </c>
      <c r="J134" s="1" t="s">
        <v>25</v>
      </c>
      <c r="K134" s="1" t="s">
        <v>497</v>
      </c>
      <c r="L134" s="1" t="s">
        <v>59</v>
      </c>
      <c r="M134" s="1"/>
    </row>
    <row r="135" spans="2:13" ht="12.75" x14ac:dyDescent="0.2">
      <c r="B135" s="2">
        <v>43061.436310243051</v>
      </c>
      <c r="C135" s="1" t="s">
        <v>500</v>
      </c>
      <c r="D135" s="1">
        <v>1990</v>
      </c>
      <c r="E135" s="1">
        <v>8012580506</v>
      </c>
      <c r="F135" s="1" t="s">
        <v>13</v>
      </c>
      <c r="G135" s="1">
        <v>1</v>
      </c>
      <c r="H135" s="1" t="s">
        <v>141</v>
      </c>
      <c r="I135" s="1" t="s">
        <v>13</v>
      </c>
      <c r="J135" s="1" t="s">
        <v>13</v>
      </c>
      <c r="K135" s="1" t="s">
        <v>501</v>
      </c>
      <c r="L135" s="1" t="s">
        <v>502</v>
      </c>
      <c r="M135" s="1"/>
    </row>
    <row r="136" spans="2:13" ht="12.75" x14ac:dyDescent="0.2">
      <c r="B136" s="2">
        <v>43061.438962581014</v>
      </c>
      <c r="C136" s="1" t="s">
        <v>503</v>
      </c>
      <c r="D136" s="1">
        <v>1980</v>
      </c>
      <c r="E136" s="1">
        <v>9840039037</v>
      </c>
      <c r="F136" s="1" t="s">
        <v>13</v>
      </c>
      <c r="G136" s="1">
        <v>0</v>
      </c>
      <c r="H136" s="1" t="s">
        <v>141</v>
      </c>
      <c r="I136" s="1" t="s">
        <v>13</v>
      </c>
      <c r="J136" s="1" t="s">
        <v>13</v>
      </c>
      <c r="K136" s="1" t="s">
        <v>504</v>
      </c>
      <c r="L136" s="1" t="s">
        <v>59</v>
      </c>
      <c r="M136" s="1"/>
    </row>
    <row r="137" spans="2:13" ht="12.75" x14ac:dyDescent="0.2">
      <c r="B137" s="2">
        <v>43061.440845405094</v>
      </c>
      <c r="C137" s="1" t="s">
        <v>505</v>
      </c>
      <c r="D137" s="1">
        <v>1982</v>
      </c>
      <c r="E137" s="1">
        <v>9677099881</v>
      </c>
      <c r="F137" s="1" t="s">
        <v>13</v>
      </c>
      <c r="G137" s="1">
        <v>0</v>
      </c>
      <c r="H137" s="1" t="s">
        <v>141</v>
      </c>
      <c r="I137" s="1" t="s">
        <v>13</v>
      </c>
      <c r="J137" s="1" t="s">
        <v>13</v>
      </c>
      <c r="K137" s="1" t="s">
        <v>293</v>
      </c>
      <c r="L137" s="1" t="s">
        <v>506</v>
      </c>
      <c r="M137" s="1"/>
    </row>
    <row r="138" spans="2:13" ht="12.75" x14ac:dyDescent="0.2">
      <c r="B138" s="2">
        <v>43061.442629351848</v>
      </c>
      <c r="C138" s="1" t="s">
        <v>507</v>
      </c>
      <c r="D138" s="1">
        <v>1984</v>
      </c>
      <c r="E138" s="1">
        <v>9677099881</v>
      </c>
      <c r="F138" s="1" t="s">
        <v>13</v>
      </c>
      <c r="G138" s="1">
        <v>0</v>
      </c>
      <c r="H138" s="1" t="s">
        <v>141</v>
      </c>
      <c r="I138" s="1" t="s">
        <v>13</v>
      </c>
      <c r="J138" s="1" t="s">
        <v>13</v>
      </c>
      <c r="K138" s="1" t="s">
        <v>508</v>
      </c>
      <c r="L138" s="1" t="s">
        <v>509</v>
      </c>
      <c r="M138" s="1"/>
    </row>
    <row r="139" spans="2:13" ht="12.75" x14ac:dyDescent="0.2">
      <c r="B139" s="2">
        <v>43061.443342847226</v>
      </c>
      <c r="C139" s="1" t="s">
        <v>510</v>
      </c>
      <c r="D139" s="1">
        <v>1990</v>
      </c>
      <c r="E139" s="1">
        <v>9677099881</v>
      </c>
      <c r="F139" s="1" t="s">
        <v>13</v>
      </c>
      <c r="G139" s="1">
        <v>0</v>
      </c>
      <c r="H139" s="1" t="s">
        <v>141</v>
      </c>
      <c r="I139" s="1" t="s">
        <v>13</v>
      </c>
      <c r="J139" s="1" t="s">
        <v>13</v>
      </c>
      <c r="K139" s="1" t="s">
        <v>511</v>
      </c>
      <c r="L139" s="1" t="s">
        <v>84</v>
      </c>
      <c r="M139" s="1"/>
    </row>
    <row r="140" spans="2:13" ht="12.75" x14ac:dyDescent="0.2">
      <c r="B140" s="2">
        <v>43061.443740486109</v>
      </c>
      <c r="C140" s="1" t="s">
        <v>512</v>
      </c>
      <c r="D140" s="1">
        <v>1990</v>
      </c>
      <c r="E140" s="1">
        <v>9791077233</v>
      </c>
      <c r="F140" s="1" t="s">
        <v>13</v>
      </c>
      <c r="G140" s="1" t="s">
        <v>513</v>
      </c>
      <c r="H140" s="1" t="s">
        <v>35</v>
      </c>
      <c r="I140" s="1" t="s">
        <v>13</v>
      </c>
      <c r="J140" s="1" t="s">
        <v>13</v>
      </c>
      <c r="K140" s="1" t="s">
        <v>514</v>
      </c>
      <c r="L140" s="1" t="s">
        <v>515</v>
      </c>
      <c r="M140" s="1"/>
    </row>
    <row r="141" spans="2:13" ht="12.75" x14ac:dyDescent="0.2">
      <c r="B141" s="2">
        <v>43061.447423923615</v>
      </c>
      <c r="C141" s="1" t="s">
        <v>516</v>
      </c>
      <c r="D141" s="1">
        <v>1990</v>
      </c>
      <c r="E141" s="1">
        <v>9791077233</v>
      </c>
      <c r="F141" s="1" t="s">
        <v>13</v>
      </c>
      <c r="G141" s="1" t="s">
        <v>517</v>
      </c>
      <c r="H141" s="1" t="s">
        <v>35</v>
      </c>
      <c r="I141" s="1" t="s">
        <v>13</v>
      </c>
      <c r="J141" s="1" t="s">
        <v>13</v>
      </c>
      <c r="K141" s="1" t="s">
        <v>518</v>
      </c>
      <c r="L141" s="1" t="s">
        <v>519</v>
      </c>
      <c r="M141" s="1"/>
    </row>
    <row r="142" spans="2:13" ht="12.75" x14ac:dyDescent="0.2">
      <c r="B142" s="2">
        <v>43061.462324942127</v>
      </c>
      <c r="C142" s="1" t="s">
        <v>520</v>
      </c>
      <c r="D142" s="1">
        <v>1971</v>
      </c>
      <c r="E142" s="1">
        <v>9790748317</v>
      </c>
      <c r="F142" s="1" t="s">
        <v>13</v>
      </c>
      <c r="G142" s="1">
        <v>1</v>
      </c>
      <c r="H142" s="1" t="s">
        <v>521</v>
      </c>
      <c r="I142" s="1" t="s">
        <v>13</v>
      </c>
      <c r="J142" s="1" t="s">
        <v>13</v>
      </c>
      <c r="K142" s="1" t="s">
        <v>522</v>
      </c>
      <c r="L142" s="1" t="s">
        <v>59</v>
      </c>
      <c r="M142" s="1"/>
    </row>
    <row r="143" spans="2:13" ht="12.75" x14ac:dyDescent="0.2">
      <c r="B143" s="2">
        <v>43061.464401226855</v>
      </c>
      <c r="C143" s="1" t="s">
        <v>523</v>
      </c>
      <c r="D143" s="1">
        <v>1971</v>
      </c>
      <c r="E143" s="1">
        <v>9790748317</v>
      </c>
      <c r="F143" s="1" t="s">
        <v>13</v>
      </c>
      <c r="G143" s="1">
        <v>1</v>
      </c>
      <c r="H143" s="1" t="s">
        <v>521</v>
      </c>
      <c r="I143" s="1" t="s">
        <v>13</v>
      </c>
      <c r="J143" s="1" t="s">
        <v>13</v>
      </c>
      <c r="K143" s="1" t="s">
        <v>522</v>
      </c>
      <c r="L143" s="1" t="s">
        <v>59</v>
      </c>
      <c r="M143" s="1"/>
    </row>
    <row r="144" spans="2:13" ht="12.75" x14ac:dyDescent="0.2">
      <c r="B144" s="2">
        <v>43061.466326689813</v>
      </c>
      <c r="C144" s="1" t="s">
        <v>524</v>
      </c>
      <c r="D144" s="1">
        <v>1991</v>
      </c>
      <c r="E144" s="1">
        <v>9048836136</v>
      </c>
      <c r="F144" s="1" t="s">
        <v>13</v>
      </c>
      <c r="G144" s="1">
        <v>2</v>
      </c>
      <c r="H144" s="1" t="s">
        <v>35</v>
      </c>
      <c r="I144" s="1" t="s">
        <v>13</v>
      </c>
      <c r="J144" s="1" t="s">
        <v>13</v>
      </c>
      <c r="K144" s="1" t="s">
        <v>525</v>
      </c>
      <c r="L144" s="1" t="s">
        <v>526</v>
      </c>
      <c r="M144" s="1"/>
    </row>
    <row r="145" spans="2:13" ht="12.75" x14ac:dyDescent="0.2">
      <c r="B145" s="2">
        <v>43061.479730162042</v>
      </c>
      <c r="C145" s="1" t="s">
        <v>527</v>
      </c>
      <c r="D145" s="1">
        <v>1961</v>
      </c>
      <c r="E145" s="1">
        <v>9444391505</v>
      </c>
      <c r="F145" s="1" t="s">
        <v>13</v>
      </c>
      <c r="G145" s="1" t="s">
        <v>101</v>
      </c>
      <c r="H145" s="1" t="s">
        <v>41</v>
      </c>
      <c r="I145" s="1" t="s">
        <v>13</v>
      </c>
      <c r="J145" s="1" t="s">
        <v>13</v>
      </c>
      <c r="K145" s="1" t="s">
        <v>528</v>
      </c>
      <c r="L145" s="1" t="s">
        <v>529</v>
      </c>
      <c r="M145" s="1"/>
    </row>
    <row r="146" spans="2:13" ht="12.75" x14ac:dyDescent="0.2">
      <c r="B146" s="2">
        <v>43061.483288634263</v>
      </c>
      <c r="C146" s="1" t="s">
        <v>530</v>
      </c>
      <c r="D146" s="1">
        <v>1990</v>
      </c>
      <c r="E146" s="1">
        <v>994149910</v>
      </c>
      <c r="F146" s="1" t="s">
        <v>13</v>
      </c>
      <c r="G146" s="1">
        <v>1</v>
      </c>
      <c r="H146" s="1" t="s">
        <v>20</v>
      </c>
      <c r="I146" s="1" t="s">
        <v>25</v>
      </c>
      <c r="J146" s="1" t="s">
        <v>25</v>
      </c>
      <c r="K146" s="1" t="s">
        <v>531</v>
      </c>
      <c r="L146" s="1" t="s">
        <v>17</v>
      </c>
      <c r="M146" s="1"/>
    </row>
    <row r="147" spans="2:13" ht="12.75" x14ac:dyDescent="0.2">
      <c r="B147" s="2">
        <v>43061.51953237268</v>
      </c>
      <c r="C147" s="1" t="s">
        <v>532</v>
      </c>
      <c r="D147" s="1">
        <v>1979</v>
      </c>
      <c r="E147" s="1">
        <v>919840067489</v>
      </c>
      <c r="F147" s="1" t="s">
        <v>13</v>
      </c>
      <c r="G147" s="1" t="s">
        <v>533</v>
      </c>
      <c r="H147" s="1" t="s">
        <v>534</v>
      </c>
      <c r="I147" s="1" t="s">
        <v>25</v>
      </c>
      <c r="J147" s="1" t="s">
        <v>25</v>
      </c>
      <c r="K147" s="1" t="s">
        <v>535</v>
      </c>
      <c r="L147" s="1" t="s">
        <v>59</v>
      </c>
      <c r="M147" s="1"/>
    </row>
    <row r="148" spans="2:13" ht="12.75" x14ac:dyDescent="0.2">
      <c r="B148" s="2">
        <v>43061.521258032408</v>
      </c>
      <c r="C148" s="1" t="s">
        <v>536</v>
      </c>
      <c r="D148" s="1">
        <v>1979</v>
      </c>
      <c r="E148" s="1">
        <v>919840067489</v>
      </c>
      <c r="F148" s="1" t="s">
        <v>13</v>
      </c>
      <c r="G148" s="1" t="s">
        <v>537</v>
      </c>
      <c r="H148" s="1" t="s">
        <v>538</v>
      </c>
      <c r="I148" s="1" t="s">
        <v>13</v>
      </c>
      <c r="J148" s="1" t="s">
        <v>13</v>
      </c>
      <c r="K148" s="1" t="s">
        <v>535</v>
      </c>
      <c r="L148" s="1" t="s">
        <v>59</v>
      </c>
      <c r="M148" s="1"/>
    </row>
    <row r="149" spans="2:13" ht="12.75" x14ac:dyDescent="0.2">
      <c r="B149" s="2">
        <v>43061.572465474535</v>
      </c>
      <c r="C149" s="1" t="s">
        <v>539</v>
      </c>
      <c r="D149" s="1">
        <v>1989</v>
      </c>
      <c r="E149" s="1">
        <v>9840057055</v>
      </c>
      <c r="F149" s="1" t="s">
        <v>13</v>
      </c>
      <c r="G149" s="1" t="s">
        <v>540</v>
      </c>
      <c r="H149" s="1" t="s">
        <v>484</v>
      </c>
      <c r="I149" s="1" t="s">
        <v>25</v>
      </c>
      <c r="J149" s="1" t="s">
        <v>13</v>
      </c>
      <c r="K149" s="1" t="s">
        <v>541</v>
      </c>
      <c r="L149" s="1" t="s">
        <v>59</v>
      </c>
      <c r="M149" s="1"/>
    </row>
    <row r="150" spans="2:13" ht="12.75" x14ac:dyDescent="0.2">
      <c r="B150" s="2">
        <v>43061.602686168982</v>
      </c>
      <c r="C150" s="1" t="s">
        <v>542</v>
      </c>
      <c r="D150" s="1">
        <v>1988</v>
      </c>
      <c r="E150" s="1" t="s">
        <v>543</v>
      </c>
      <c r="F150" s="1" t="s">
        <v>13</v>
      </c>
      <c r="G150" s="1">
        <v>1</v>
      </c>
      <c r="H150" s="1" t="s">
        <v>35</v>
      </c>
      <c r="I150" s="1" t="s">
        <v>13</v>
      </c>
      <c r="J150" s="1" t="s">
        <v>13</v>
      </c>
      <c r="K150" s="1" t="s">
        <v>544</v>
      </c>
      <c r="L150" s="1" t="s">
        <v>205</v>
      </c>
      <c r="M150" s="1"/>
    </row>
    <row r="151" spans="2:13" ht="12.75" x14ac:dyDescent="0.2">
      <c r="B151" s="2">
        <v>43061.604185497687</v>
      </c>
      <c r="C151" s="1" t="s">
        <v>545</v>
      </c>
      <c r="D151" s="1">
        <v>1991</v>
      </c>
      <c r="E151" s="1">
        <v>9884611423</v>
      </c>
      <c r="F151" s="1" t="s">
        <v>13</v>
      </c>
      <c r="G151" s="1">
        <v>0</v>
      </c>
      <c r="H151" s="1" t="s">
        <v>41</v>
      </c>
      <c r="I151" s="1" t="s">
        <v>13</v>
      </c>
      <c r="J151" s="1" t="s">
        <v>13</v>
      </c>
      <c r="K151" s="1" t="s">
        <v>546</v>
      </c>
      <c r="L151" s="1" t="s">
        <v>17</v>
      </c>
      <c r="M151" s="1"/>
    </row>
    <row r="152" spans="2:13" ht="12.75" x14ac:dyDescent="0.2">
      <c r="B152" s="2">
        <v>43061.605912800922</v>
      </c>
      <c r="C152" s="1" t="s">
        <v>547</v>
      </c>
      <c r="D152" s="1">
        <v>1984</v>
      </c>
      <c r="E152" s="1">
        <v>7904914616</v>
      </c>
      <c r="F152" s="1" t="s">
        <v>13</v>
      </c>
      <c r="G152" s="1" t="s">
        <v>101</v>
      </c>
      <c r="H152" s="1" t="s">
        <v>35</v>
      </c>
      <c r="I152" s="1" t="s">
        <v>25</v>
      </c>
      <c r="J152" s="1" t="s">
        <v>25</v>
      </c>
      <c r="K152" s="1" t="s">
        <v>548</v>
      </c>
      <c r="L152" s="1" t="s">
        <v>59</v>
      </c>
      <c r="M152" s="1"/>
    </row>
    <row r="153" spans="2:13" ht="12.75" x14ac:dyDescent="0.2">
      <c r="B153" s="2">
        <v>43061.613164502312</v>
      </c>
      <c r="C153" s="1" t="s">
        <v>549</v>
      </c>
      <c r="D153" s="1">
        <v>1979</v>
      </c>
      <c r="E153" s="1">
        <v>9841046489</v>
      </c>
      <c r="F153" s="1" t="s">
        <v>13</v>
      </c>
      <c r="G153" s="1" t="s">
        <v>550</v>
      </c>
      <c r="H153" s="1" t="s">
        <v>551</v>
      </c>
      <c r="I153" s="1" t="s">
        <v>13</v>
      </c>
      <c r="J153" s="1" t="s">
        <v>13</v>
      </c>
      <c r="K153" s="1" t="s">
        <v>552</v>
      </c>
      <c r="L153" s="1" t="s">
        <v>59</v>
      </c>
      <c r="M153" s="1"/>
    </row>
    <row r="154" spans="2:13" ht="12.75" x14ac:dyDescent="0.2">
      <c r="B154" s="2">
        <v>43061.645713090278</v>
      </c>
      <c r="C154" s="1" t="s">
        <v>553</v>
      </c>
      <c r="D154" s="1">
        <v>1979</v>
      </c>
      <c r="E154" s="1" t="s">
        <v>554</v>
      </c>
      <c r="F154" s="1" t="s">
        <v>13</v>
      </c>
      <c r="G154" s="1" t="s">
        <v>555</v>
      </c>
      <c r="H154" s="1" t="s">
        <v>556</v>
      </c>
      <c r="I154" s="1" t="s">
        <v>13</v>
      </c>
      <c r="J154" s="1" t="s">
        <v>13</v>
      </c>
      <c r="K154" s="1" t="s">
        <v>557</v>
      </c>
      <c r="L154" s="1" t="s">
        <v>558</v>
      </c>
      <c r="M154" s="1"/>
    </row>
    <row r="155" spans="2:13" ht="12.75" x14ac:dyDescent="0.2">
      <c r="B155" s="2">
        <v>43061.65546731482</v>
      </c>
      <c r="C155" s="1" t="s">
        <v>151</v>
      </c>
      <c r="D155" s="1">
        <v>1991</v>
      </c>
      <c r="E155" s="1">
        <v>9840716164</v>
      </c>
      <c r="F155" s="1" t="s">
        <v>13</v>
      </c>
      <c r="G155" s="1">
        <v>1</v>
      </c>
      <c r="H155" s="1" t="s">
        <v>153</v>
      </c>
      <c r="I155" s="1" t="s">
        <v>25</v>
      </c>
      <c r="J155" s="1" t="s">
        <v>13</v>
      </c>
      <c r="K155" s="1" t="s">
        <v>559</v>
      </c>
      <c r="L155" s="1" t="s">
        <v>84</v>
      </c>
      <c r="M155" s="1"/>
    </row>
    <row r="156" spans="2:13" ht="12.75" x14ac:dyDescent="0.2">
      <c r="B156" s="2">
        <v>43061.815782997684</v>
      </c>
      <c r="C156" s="1" t="s">
        <v>560</v>
      </c>
      <c r="D156" s="1">
        <v>1988</v>
      </c>
      <c r="E156" s="1">
        <v>8939288166</v>
      </c>
      <c r="F156" s="1" t="s">
        <v>13</v>
      </c>
      <c r="G156" s="1">
        <v>2</v>
      </c>
      <c r="H156" s="1" t="s">
        <v>35</v>
      </c>
      <c r="I156" s="1" t="s">
        <v>13</v>
      </c>
      <c r="J156" s="1" t="s">
        <v>13</v>
      </c>
      <c r="K156" s="1">
        <v>1</v>
      </c>
      <c r="L156" s="1" t="s">
        <v>205</v>
      </c>
      <c r="M156" s="1"/>
    </row>
    <row r="157" spans="2:13" ht="12.75" x14ac:dyDescent="0.2">
      <c r="B157" s="2">
        <v>43062.484621307871</v>
      </c>
      <c r="C157" s="1" t="s">
        <v>561</v>
      </c>
      <c r="D157" s="1">
        <v>1996</v>
      </c>
      <c r="E157" s="1">
        <v>9790990990</v>
      </c>
      <c r="F157" s="1" t="s">
        <v>13</v>
      </c>
      <c r="G157" s="1" t="s">
        <v>562</v>
      </c>
      <c r="H157" s="1" t="s">
        <v>438</v>
      </c>
      <c r="I157" s="1" t="s">
        <v>25</v>
      </c>
      <c r="J157" s="1" t="s">
        <v>13</v>
      </c>
      <c r="K157" s="1" t="s">
        <v>420</v>
      </c>
      <c r="L157" s="1" t="s">
        <v>84</v>
      </c>
      <c r="M157" s="1"/>
    </row>
    <row r="158" spans="2:13" ht="12.75" x14ac:dyDescent="0.2">
      <c r="B158" s="2">
        <v>43062.490614548609</v>
      </c>
      <c r="C158" s="1" t="s">
        <v>563</v>
      </c>
      <c r="D158" s="1">
        <v>1995</v>
      </c>
      <c r="E158" s="1">
        <v>9092599733</v>
      </c>
      <c r="F158" s="1" t="s">
        <v>13</v>
      </c>
      <c r="G158" s="1" t="s">
        <v>564</v>
      </c>
      <c r="H158" s="1" t="s">
        <v>35</v>
      </c>
      <c r="I158" s="1" t="s">
        <v>25</v>
      </c>
      <c r="J158" s="1" t="s">
        <v>25</v>
      </c>
      <c r="K158" s="1" t="s">
        <v>565</v>
      </c>
      <c r="L158" s="1" t="s">
        <v>59</v>
      </c>
      <c r="M158" s="1"/>
    </row>
    <row r="159" spans="2:13" ht="12.75" x14ac:dyDescent="0.2">
      <c r="B159" s="2">
        <v>43062.503401296301</v>
      </c>
      <c r="C159" s="1" t="s">
        <v>566</v>
      </c>
      <c r="D159" s="1">
        <v>1979</v>
      </c>
      <c r="E159" s="1">
        <v>9840734137</v>
      </c>
      <c r="F159" s="1" t="s">
        <v>13</v>
      </c>
      <c r="G159" s="1">
        <v>1</v>
      </c>
      <c r="H159" s="1" t="s">
        <v>13</v>
      </c>
      <c r="I159" s="1" t="s">
        <v>13</v>
      </c>
      <c r="J159" s="1" t="s">
        <v>13</v>
      </c>
      <c r="K159" s="1" t="s">
        <v>567</v>
      </c>
      <c r="L159" s="1" t="s">
        <v>59</v>
      </c>
      <c r="M159" s="1"/>
    </row>
    <row r="160" spans="2:13" ht="12.75" x14ac:dyDescent="0.2">
      <c r="B160" s="2">
        <v>43062.550184560183</v>
      </c>
      <c r="C160" s="1" t="s">
        <v>568</v>
      </c>
      <c r="D160" s="1">
        <v>1991</v>
      </c>
      <c r="E160" s="1">
        <v>9884213331</v>
      </c>
      <c r="F160" s="1" t="s">
        <v>13</v>
      </c>
      <c r="G160" s="1">
        <v>1</v>
      </c>
      <c r="H160" s="1" t="s">
        <v>25</v>
      </c>
      <c r="I160" s="1" t="s">
        <v>13</v>
      </c>
      <c r="J160" s="1" t="s">
        <v>13</v>
      </c>
      <c r="K160" s="1" t="s">
        <v>569</v>
      </c>
      <c r="L160" s="1" t="s">
        <v>59</v>
      </c>
      <c r="M160" s="1"/>
    </row>
    <row r="161" spans="2:13" ht="12.75" x14ac:dyDescent="0.2">
      <c r="B161" s="2">
        <v>43062.788576990744</v>
      </c>
      <c r="C161" s="1" t="s">
        <v>570</v>
      </c>
      <c r="D161" s="1">
        <v>1990</v>
      </c>
      <c r="E161" s="1">
        <v>9840735718</v>
      </c>
      <c r="F161" s="1" t="s">
        <v>13</v>
      </c>
      <c r="G161" s="1" t="s">
        <v>571</v>
      </c>
      <c r="H161" s="1" t="s">
        <v>35</v>
      </c>
      <c r="I161" s="1" t="s">
        <v>13</v>
      </c>
      <c r="J161" s="1" t="s">
        <v>13</v>
      </c>
      <c r="K161" s="1" t="s">
        <v>572</v>
      </c>
      <c r="L161" s="1" t="s">
        <v>573</v>
      </c>
      <c r="M161" s="1"/>
    </row>
    <row r="162" spans="2:13" ht="12.75" x14ac:dyDescent="0.2">
      <c r="B162" s="2">
        <v>43062.862727418978</v>
      </c>
      <c r="C162" s="1" t="s">
        <v>574</v>
      </c>
      <c r="D162" s="1">
        <v>1982</v>
      </c>
      <c r="E162" s="1">
        <v>9003024557</v>
      </c>
      <c r="F162" s="1" t="s">
        <v>13</v>
      </c>
      <c r="G162" s="1" t="s">
        <v>101</v>
      </c>
      <c r="H162" s="1" t="s">
        <v>13</v>
      </c>
      <c r="I162" s="1" t="s">
        <v>25</v>
      </c>
      <c r="J162" s="1" t="s">
        <v>25</v>
      </c>
      <c r="K162" s="1" t="s">
        <v>575</v>
      </c>
      <c r="L162" s="1" t="s">
        <v>59</v>
      </c>
      <c r="M162" s="1"/>
    </row>
    <row r="163" spans="2:13" ht="12.75" x14ac:dyDescent="0.2">
      <c r="B163" s="2">
        <v>43062.877648703703</v>
      </c>
      <c r="C163" s="1" t="s">
        <v>576</v>
      </c>
      <c r="D163" s="1">
        <v>1990</v>
      </c>
      <c r="E163" s="1">
        <v>9840244278</v>
      </c>
      <c r="F163" s="1" t="s">
        <v>13</v>
      </c>
      <c r="G163" s="1" t="s">
        <v>40</v>
      </c>
      <c r="H163" s="1" t="s">
        <v>35</v>
      </c>
      <c r="I163" s="1" t="s">
        <v>13</v>
      </c>
      <c r="J163" s="1" t="s">
        <v>13</v>
      </c>
      <c r="K163" s="1" t="s">
        <v>518</v>
      </c>
      <c r="L163" s="1" t="s">
        <v>519</v>
      </c>
      <c r="M163" s="1"/>
    </row>
    <row r="164" spans="2:13" ht="12.75" x14ac:dyDescent="0.2">
      <c r="B164" s="2">
        <v>43062.880733888887</v>
      </c>
      <c r="C164" s="1" t="s">
        <v>577</v>
      </c>
      <c r="D164" s="1">
        <v>1990</v>
      </c>
      <c r="E164" s="1">
        <v>9840244278</v>
      </c>
      <c r="F164" s="1" t="s">
        <v>13</v>
      </c>
      <c r="G164" s="1" t="s">
        <v>40</v>
      </c>
      <c r="H164" s="1" t="s">
        <v>35</v>
      </c>
      <c r="I164" s="1" t="s">
        <v>13</v>
      </c>
      <c r="J164" s="1" t="s">
        <v>13</v>
      </c>
      <c r="K164" s="1" t="s">
        <v>518</v>
      </c>
      <c r="L164" s="1" t="s">
        <v>519</v>
      </c>
      <c r="M164" s="1"/>
    </row>
    <row r="165" spans="2:13" ht="12.75" x14ac:dyDescent="0.2">
      <c r="B165" s="2">
        <v>43062.889899699076</v>
      </c>
      <c r="C165" s="1" t="s">
        <v>578</v>
      </c>
      <c r="D165" s="1">
        <v>2012</v>
      </c>
      <c r="E165" s="1">
        <v>9500180455</v>
      </c>
      <c r="F165" s="1" t="s">
        <v>13</v>
      </c>
      <c r="G165" s="1">
        <v>1</v>
      </c>
      <c r="H165" s="1" t="s">
        <v>579</v>
      </c>
      <c r="I165" s="1" t="s">
        <v>25</v>
      </c>
      <c r="J165" s="1" t="s">
        <v>13</v>
      </c>
      <c r="K165" s="1" t="s">
        <v>580</v>
      </c>
      <c r="L165" s="1" t="s">
        <v>205</v>
      </c>
      <c r="M165" s="1"/>
    </row>
    <row r="166" spans="2:13" ht="12.75" x14ac:dyDescent="0.2">
      <c r="B166" s="2">
        <v>43062.896231331018</v>
      </c>
      <c r="C166" s="1" t="s">
        <v>581</v>
      </c>
      <c r="D166" s="1">
        <v>1981</v>
      </c>
      <c r="E166" s="1">
        <v>9840328034</v>
      </c>
      <c r="F166" s="1" t="s">
        <v>13</v>
      </c>
      <c r="G166" s="1">
        <v>1</v>
      </c>
      <c r="H166" s="1" t="s">
        <v>13</v>
      </c>
      <c r="I166" s="1" t="s">
        <v>25</v>
      </c>
      <c r="J166" s="1" t="s">
        <v>13</v>
      </c>
      <c r="K166" s="1" t="s">
        <v>582</v>
      </c>
      <c r="L166" s="1" t="s">
        <v>583</v>
      </c>
      <c r="M166" s="1"/>
    </row>
    <row r="167" spans="2:13" ht="12.75" x14ac:dyDescent="0.2">
      <c r="B167" s="2">
        <v>43062.901742743052</v>
      </c>
      <c r="C167" s="1" t="s">
        <v>584</v>
      </c>
      <c r="D167" s="1">
        <v>1981</v>
      </c>
      <c r="E167" s="1">
        <v>9444010647</v>
      </c>
      <c r="F167" s="1" t="s">
        <v>13</v>
      </c>
      <c r="G167" s="1" t="s">
        <v>250</v>
      </c>
      <c r="H167" s="1" t="s">
        <v>279</v>
      </c>
      <c r="I167" s="1" t="s">
        <v>13</v>
      </c>
      <c r="J167" s="1" t="s">
        <v>13</v>
      </c>
      <c r="K167" s="1" t="s">
        <v>585</v>
      </c>
      <c r="L167" s="1" t="s">
        <v>586</v>
      </c>
      <c r="M167" s="1"/>
    </row>
    <row r="168" spans="2:13" ht="12.75" x14ac:dyDescent="0.2">
      <c r="B168" s="2">
        <v>43062.931200173611</v>
      </c>
      <c r="C168" s="1" t="s">
        <v>587</v>
      </c>
      <c r="D168" s="1">
        <v>1985</v>
      </c>
      <c r="E168" s="1">
        <v>9444018560</v>
      </c>
      <c r="F168" s="1" t="s">
        <v>13</v>
      </c>
      <c r="G168" s="1" t="s">
        <v>101</v>
      </c>
      <c r="H168" s="1" t="s">
        <v>35</v>
      </c>
      <c r="I168" s="1" t="s">
        <v>25</v>
      </c>
      <c r="J168" s="1" t="s">
        <v>13</v>
      </c>
      <c r="K168" s="1" t="s">
        <v>588</v>
      </c>
      <c r="L168" s="1" t="s">
        <v>59</v>
      </c>
      <c r="M168" s="1"/>
    </row>
    <row r="169" spans="2:13" ht="12.75" x14ac:dyDescent="0.2">
      <c r="B169" s="2">
        <v>43062.9331337037</v>
      </c>
      <c r="C169" s="1" t="s">
        <v>589</v>
      </c>
      <c r="D169" s="1">
        <v>1988</v>
      </c>
      <c r="E169" s="1">
        <v>9840117000</v>
      </c>
      <c r="F169" s="1" t="s">
        <v>13</v>
      </c>
      <c r="G169" s="1" t="s">
        <v>101</v>
      </c>
      <c r="H169" s="1" t="s">
        <v>20</v>
      </c>
      <c r="I169" s="1" t="s">
        <v>13</v>
      </c>
      <c r="J169" s="1" t="s">
        <v>25</v>
      </c>
      <c r="K169" s="1" t="s">
        <v>590</v>
      </c>
      <c r="L169" s="1" t="s">
        <v>59</v>
      </c>
      <c r="M169" s="1"/>
    </row>
    <row r="170" spans="2:13" ht="12.75" x14ac:dyDescent="0.2">
      <c r="B170" s="2">
        <v>43062.933135312502</v>
      </c>
      <c r="C170" s="1" t="s">
        <v>589</v>
      </c>
      <c r="D170" s="1">
        <v>1988</v>
      </c>
      <c r="E170" s="1">
        <v>9840117000</v>
      </c>
      <c r="F170" s="1" t="s">
        <v>13</v>
      </c>
      <c r="G170" s="1" t="s">
        <v>101</v>
      </c>
      <c r="H170" s="1" t="s">
        <v>20</v>
      </c>
      <c r="I170" s="1" t="s">
        <v>13</v>
      </c>
      <c r="J170" s="1" t="s">
        <v>25</v>
      </c>
      <c r="K170" s="1" t="s">
        <v>590</v>
      </c>
      <c r="L170" s="1" t="s">
        <v>59</v>
      </c>
      <c r="M170" s="1"/>
    </row>
    <row r="171" spans="2:13" ht="12.75" x14ac:dyDescent="0.2">
      <c r="B171" s="2">
        <v>43062.957323900468</v>
      </c>
      <c r="C171" s="1" t="s">
        <v>591</v>
      </c>
      <c r="D171" s="1">
        <v>1984</v>
      </c>
      <c r="E171" s="1">
        <v>9884078601</v>
      </c>
      <c r="F171" s="1" t="s">
        <v>13</v>
      </c>
      <c r="G171" s="1">
        <v>1</v>
      </c>
      <c r="H171" s="1" t="s">
        <v>13</v>
      </c>
      <c r="I171" s="1" t="s">
        <v>25</v>
      </c>
      <c r="J171" s="1" t="s">
        <v>13</v>
      </c>
      <c r="K171" s="1" t="s">
        <v>592</v>
      </c>
      <c r="L171" s="1" t="s">
        <v>59</v>
      </c>
      <c r="M171" s="1"/>
    </row>
    <row r="172" spans="2:13" ht="12.75" x14ac:dyDescent="0.2">
      <c r="B172" s="2">
        <v>43063.147748263887</v>
      </c>
      <c r="C172" s="1" t="s">
        <v>593</v>
      </c>
      <c r="D172" s="1">
        <v>2006</v>
      </c>
      <c r="E172" s="1">
        <v>9841978613</v>
      </c>
      <c r="F172" s="1" t="s">
        <v>25</v>
      </c>
      <c r="G172" s="1">
        <v>0</v>
      </c>
      <c r="H172" s="1" t="s">
        <v>13</v>
      </c>
      <c r="I172" s="1" t="s">
        <v>25</v>
      </c>
      <c r="J172" s="1" t="s">
        <v>13</v>
      </c>
      <c r="K172" s="1" t="s">
        <v>594</v>
      </c>
      <c r="L172" s="1" t="s">
        <v>59</v>
      </c>
      <c r="M172" s="1"/>
    </row>
    <row r="173" spans="2:13" ht="12.75" x14ac:dyDescent="0.2">
      <c r="B173" s="2">
        <v>43063.300783495375</v>
      </c>
      <c r="C173" s="1" t="s">
        <v>595</v>
      </c>
      <c r="D173" s="1">
        <v>1981</v>
      </c>
      <c r="E173" s="1">
        <v>9884047796</v>
      </c>
      <c r="F173" s="1" t="s">
        <v>13</v>
      </c>
      <c r="G173" s="1" t="s">
        <v>92</v>
      </c>
      <c r="H173" s="1" t="s">
        <v>15</v>
      </c>
      <c r="I173" s="1" t="s">
        <v>25</v>
      </c>
      <c r="J173" s="1" t="s">
        <v>25</v>
      </c>
      <c r="K173" s="1" t="s">
        <v>596</v>
      </c>
      <c r="L173" s="1" t="s">
        <v>59</v>
      </c>
      <c r="M173" s="1"/>
    </row>
    <row r="174" spans="2:13" ht="12.75" x14ac:dyDescent="0.2">
      <c r="B174" s="2">
        <v>43063.343677268524</v>
      </c>
      <c r="C174" s="1" t="s">
        <v>597</v>
      </c>
      <c r="D174" s="1">
        <v>1981</v>
      </c>
      <c r="E174" s="1">
        <v>9445149445</v>
      </c>
      <c r="F174" s="1" t="s">
        <v>13</v>
      </c>
      <c r="G174" s="1" t="s">
        <v>598</v>
      </c>
      <c r="H174" s="1" t="s">
        <v>599</v>
      </c>
      <c r="I174" s="1" t="s">
        <v>25</v>
      </c>
      <c r="J174" s="1" t="s">
        <v>25</v>
      </c>
      <c r="K174" s="1" t="s">
        <v>276</v>
      </c>
      <c r="L174" s="1" t="s">
        <v>59</v>
      </c>
      <c r="M174" s="1"/>
    </row>
    <row r="175" spans="2:13" ht="12.75" x14ac:dyDescent="0.2">
      <c r="B175" s="2">
        <v>43063.467357060188</v>
      </c>
      <c r="C175" s="1" t="s">
        <v>600</v>
      </c>
      <c r="D175" s="1">
        <v>1988</v>
      </c>
      <c r="E175" s="1">
        <v>9885032015</v>
      </c>
      <c r="F175" s="1" t="s">
        <v>13</v>
      </c>
      <c r="G175" s="1">
        <v>2</v>
      </c>
      <c r="H175" s="1" t="s">
        <v>13</v>
      </c>
      <c r="I175" s="1" t="s">
        <v>25</v>
      </c>
      <c r="J175" s="1" t="s">
        <v>13</v>
      </c>
      <c r="K175" s="1" t="s">
        <v>601</v>
      </c>
      <c r="L175" s="1" t="s">
        <v>602</v>
      </c>
      <c r="M175" s="1"/>
    </row>
    <row r="176" spans="2:13" ht="12.75" x14ac:dyDescent="0.2">
      <c r="B176" s="2">
        <v>43063.489800474534</v>
      </c>
      <c r="C176" s="1" t="s">
        <v>603</v>
      </c>
      <c r="D176" s="1">
        <v>1990</v>
      </c>
      <c r="E176" s="1">
        <v>9840350724</v>
      </c>
      <c r="F176" s="1" t="s">
        <v>13</v>
      </c>
      <c r="G176" s="1" t="s">
        <v>604</v>
      </c>
      <c r="H176" s="1" t="s">
        <v>605</v>
      </c>
      <c r="I176" s="1" t="s">
        <v>13</v>
      </c>
      <c r="J176" s="1" t="s">
        <v>13</v>
      </c>
      <c r="K176" s="1" t="s">
        <v>606</v>
      </c>
      <c r="L176" s="1" t="s">
        <v>59</v>
      </c>
      <c r="M176" s="1"/>
    </row>
    <row r="177" spans="2:13" ht="12.75" x14ac:dyDescent="0.2">
      <c r="B177" s="2">
        <v>43063.534392199072</v>
      </c>
      <c r="C177" s="1" t="s">
        <v>607</v>
      </c>
      <c r="D177" s="1">
        <v>1991</v>
      </c>
      <c r="E177" s="1">
        <v>9943388833</v>
      </c>
      <c r="F177" s="1" t="s">
        <v>13</v>
      </c>
      <c r="G177" s="1" t="s">
        <v>92</v>
      </c>
      <c r="H177" s="1" t="s">
        <v>13</v>
      </c>
      <c r="I177" s="1" t="s">
        <v>13</v>
      </c>
      <c r="J177" s="1" t="s">
        <v>13</v>
      </c>
      <c r="K177" s="1" t="s">
        <v>608</v>
      </c>
      <c r="L177" s="1" t="s">
        <v>59</v>
      </c>
      <c r="M177" s="1"/>
    </row>
    <row r="178" spans="2:13" ht="12.75" x14ac:dyDescent="0.2">
      <c r="B178" s="2">
        <v>43063.73371951389</v>
      </c>
      <c r="C178" s="1" t="s">
        <v>609</v>
      </c>
      <c r="D178" s="1">
        <v>1988</v>
      </c>
      <c r="E178" s="1">
        <v>9841423786</v>
      </c>
      <c r="F178" s="1" t="s">
        <v>13</v>
      </c>
      <c r="G178" s="1">
        <v>1</v>
      </c>
      <c r="H178" s="1" t="s">
        <v>13</v>
      </c>
      <c r="I178" s="1" t="s">
        <v>13</v>
      </c>
      <c r="J178" s="1" t="s">
        <v>13</v>
      </c>
      <c r="K178" s="1" t="s">
        <v>610</v>
      </c>
      <c r="L178" s="1" t="s">
        <v>59</v>
      </c>
    </row>
    <row r="179" spans="2:13" ht="12.75" x14ac:dyDescent="0.2">
      <c r="B179" s="2">
        <v>43063.884979050927</v>
      </c>
      <c r="C179" s="1" t="s">
        <v>611</v>
      </c>
      <c r="D179" s="1">
        <v>1981</v>
      </c>
      <c r="E179" s="1">
        <v>9884421428</v>
      </c>
      <c r="F179" s="1" t="s">
        <v>13</v>
      </c>
      <c r="G179" s="1">
        <v>1</v>
      </c>
      <c r="H179" s="1" t="s">
        <v>141</v>
      </c>
      <c r="I179" s="1" t="s">
        <v>25</v>
      </c>
      <c r="J179" s="1" t="s">
        <v>25</v>
      </c>
      <c r="K179" s="1" t="s">
        <v>612</v>
      </c>
      <c r="L179" s="1" t="s">
        <v>59</v>
      </c>
    </row>
    <row r="180" spans="2:13" ht="12.75" x14ac:dyDescent="0.2">
      <c r="B180" s="2">
        <v>43063.886776435189</v>
      </c>
      <c r="C180" s="1" t="s">
        <v>613</v>
      </c>
      <c r="D180" s="1">
        <v>1988</v>
      </c>
      <c r="E180" s="1">
        <v>9941917866</v>
      </c>
      <c r="F180" s="1" t="s">
        <v>13</v>
      </c>
      <c r="G180" s="1" t="s">
        <v>40</v>
      </c>
      <c r="H180" s="1" t="s">
        <v>141</v>
      </c>
      <c r="I180" s="1" t="s">
        <v>25</v>
      </c>
      <c r="J180" s="1" t="s">
        <v>25</v>
      </c>
      <c r="K180" s="1" t="s">
        <v>614</v>
      </c>
      <c r="L180" s="1" t="s">
        <v>59</v>
      </c>
    </row>
    <row r="181" spans="2:13" ht="12.75" x14ac:dyDescent="0.2">
      <c r="B181" s="2">
        <v>43063.927653981482</v>
      </c>
      <c r="C181" s="1" t="s">
        <v>615</v>
      </c>
      <c r="D181" s="1">
        <v>1992</v>
      </c>
      <c r="E181" s="1">
        <v>9841828535</v>
      </c>
      <c r="F181" s="1" t="s">
        <v>25</v>
      </c>
      <c r="G181" s="1">
        <v>0</v>
      </c>
      <c r="H181" s="1" t="s">
        <v>45</v>
      </c>
      <c r="I181" s="1" t="s">
        <v>25</v>
      </c>
      <c r="J181" s="1" t="s">
        <v>25</v>
      </c>
      <c r="K181" s="1" t="s">
        <v>616</v>
      </c>
      <c r="L181" s="1" t="s">
        <v>59</v>
      </c>
    </row>
    <row r="182" spans="2:13" ht="12.75" x14ac:dyDescent="0.2">
      <c r="B182" s="2">
        <v>43063.940754791663</v>
      </c>
      <c r="C182" s="1" t="s">
        <v>617</v>
      </c>
      <c r="D182" s="1">
        <v>1981</v>
      </c>
      <c r="E182" s="1">
        <v>9840218084</v>
      </c>
      <c r="F182" s="1" t="s">
        <v>13</v>
      </c>
      <c r="G182" s="1">
        <v>1</v>
      </c>
      <c r="H182" s="1" t="s">
        <v>15</v>
      </c>
      <c r="I182" s="1" t="s">
        <v>25</v>
      </c>
      <c r="J182" s="1" t="s">
        <v>13</v>
      </c>
      <c r="K182" s="1" t="s">
        <v>618</v>
      </c>
      <c r="L182" s="1" t="s">
        <v>59</v>
      </c>
    </row>
    <row r="183" spans="2:13" ht="12.75" x14ac:dyDescent="0.2">
      <c r="B183" s="2">
        <v>43063.949981157406</v>
      </c>
      <c r="C183" s="1" t="s">
        <v>619</v>
      </c>
      <c r="D183" s="1">
        <v>1982</v>
      </c>
      <c r="E183" s="1">
        <v>9444131988</v>
      </c>
      <c r="F183" s="1" t="s">
        <v>13</v>
      </c>
      <c r="G183" s="1">
        <v>3</v>
      </c>
      <c r="H183" s="1" t="s">
        <v>620</v>
      </c>
      <c r="I183" s="1" t="s">
        <v>25</v>
      </c>
      <c r="J183" s="1" t="s">
        <v>13</v>
      </c>
      <c r="K183" s="1" t="s">
        <v>621</v>
      </c>
      <c r="L183" s="1" t="s">
        <v>59</v>
      </c>
    </row>
    <row r="184" spans="2:13" ht="12.75" x14ac:dyDescent="0.2">
      <c r="B184" s="2">
        <v>43064.442207939814</v>
      </c>
      <c r="C184" s="1" t="s">
        <v>622</v>
      </c>
      <c r="D184" s="1">
        <v>1995</v>
      </c>
      <c r="E184" s="1">
        <v>8446024760</v>
      </c>
      <c r="F184" s="1" t="s">
        <v>25</v>
      </c>
      <c r="G184" s="1">
        <v>0</v>
      </c>
      <c r="H184" s="1">
        <v>0</v>
      </c>
      <c r="I184" s="1" t="s">
        <v>25</v>
      </c>
      <c r="J184" s="1" t="s">
        <v>13</v>
      </c>
      <c r="K184" s="1" t="s">
        <v>623</v>
      </c>
      <c r="L184" s="1" t="s">
        <v>624</v>
      </c>
    </row>
    <row r="185" spans="2:13" ht="12.75" x14ac:dyDescent="0.2">
      <c r="B185" s="2">
        <v>43064.474815254631</v>
      </c>
      <c r="C185" s="1" t="s">
        <v>70</v>
      </c>
      <c r="D185" s="1">
        <v>1995</v>
      </c>
      <c r="E185" s="1">
        <v>9710733174</v>
      </c>
      <c r="F185" s="1" t="s">
        <v>13</v>
      </c>
      <c r="G185" s="1" t="s">
        <v>625</v>
      </c>
      <c r="H185" s="1" t="s">
        <v>15</v>
      </c>
      <c r="I185" s="1" t="s">
        <v>13</v>
      </c>
      <c r="J185" s="1" t="s">
        <v>25</v>
      </c>
      <c r="K185" s="1" t="s">
        <v>73</v>
      </c>
      <c r="L185" s="1" t="s">
        <v>59</v>
      </c>
    </row>
    <row r="186" spans="2:13" ht="12.75" x14ac:dyDescent="0.2">
      <c r="B186" s="2">
        <v>43064.493463715276</v>
      </c>
      <c r="C186" s="1" t="s">
        <v>626</v>
      </c>
      <c r="D186" s="1">
        <v>1990</v>
      </c>
      <c r="E186" s="1">
        <v>9840200845</v>
      </c>
      <c r="F186" s="1" t="s">
        <v>13</v>
      </c>
      <c r="G186" s="1" t="s">
        <v>30</v>
      </c>
      <c r="H186" s="1" t="s">
        <v>627</v>
      </c>
      <c r="I186" s="1" t="s">
        <v>13</v>
      </c>
      <c r="J186" s="1" t="s">
        <v>13</v>
      </c>
      <c r="K186" s="1" t="s">
        <v>628</v>
      </c>
      <c r="L186" s="1" t="s">
        <v>629</v>
      </c>
    </row>
    <row r="187" spans="2:13" ht="12.75" x14ac:dyDescent="0.2">
      <c r="B187" s="2">
        <v>43064.507259143516</v>
      </c>
      <c r="C187" s="1" t="s">
        <v>630</v>
      </c>
      <c r="D187" s="1">
        <v>1979</v>
      </c>
      <c r="E187" s="1">
        <v>9884084488</v>
      </c>
      <c r="F187" s="1" t="s">
        <v>13</v>
      </c>
      <c r="G187" s="1">
        <v>1</v>
      </c>
      <c r="H187" s="1" t="s">
        <v>13</v>
      </c>
      <c r="I187" s="1" t="s">
        <v>13</v>
      </c>
      <c r="J187" s="1" t="s">
        <v>13</v>
      </c>
      <c r="K187" s="1" t="s">
        <v>631</v>
      </c>
      <c r="L187" s="1" t="s">
        <v>59</v>
      </c>
    </row>
    <row r="188" spans="2:13" ht="12.75" x14ac:dyDescent="0.2">
      <c r="B188" s="2">
        <v>43064.528544710643</v>
      </c>
      <c r="C188" s="1" t="s">
        <v>632</v>
      </c>
      <c r="D188" s="1">
        <v>1979</v>
      </c>
      <c r="E188" s="1">
        <v>14259319454</v>
      </c>
      <c r="F188" s="1" t="s">
        <v>25</v>
      </c>
      <c r="G188" s="1">
        <v>0</v>
      </c>
      <c r="H188" s="1">
        <v>0</v>
      </c>
      <c r="I188" s="1" t="s">
        <v>13</v>
      </c>
      <c r="J188" s="1" t="s">
        <v>13</v>
      </c>
      <c r="K188" s="1" t="s">
        <v>633</v>
      </c>
      <c r="L188" s="1" t="s">
        <v>634</v>
      </c>
    </row>
    <row r="189" spans="2:13" ht="12.75" x14ac:dyDescent="0.2">
      <c r="B189" s="2">
        <v>43064.532532037032</v>
      </c>
      <c r="C189" s="1" t="s">
        <v>635</v>
      </c>
      <c r="D189" s="1">
        <v>1968</v>
      </c>
      <c r="E189" s="1">
        <v>9849316626</v>
      </c>
      <c r="F189" s="1" t="s">
        <v>25</v>
      </c>
      <c r="G189" s="1" t="s">
        <v>45</v>
      </c>
      <c r="H189" s="1" t="s">
        <v>13</v>
      </c>
      <c r="I189" s="1" t="s">
        <v>25</v>
      </c>
      <c r="J189" s="1" t="s">
        <v>25</v>
      </c>
      <c r="K189" s="1" t="s">
        <v>636</v>
      </c>
      <c r="L189" s="1" t="s">
        <v>637</v>
      </c>
    </row>
    <row r="190" spans="2:13" ht="12.75" x14ac:dyDescent="0.2">
      <c r="B190" s="2">
        <v>43064.538817662033</v>
      </c>
      <c r="C190" s="1" t="s">
        <v>638</v>
      </c>
      <c r="D190" s="1">
        <v>1984</v>
      </c>
      <c r="E190" s="1">
        <v>9445903770</v>
      </c>
      <c r="F190" s="1" t="s">
        <v>13</v>
      </c>
      <c r="G190" s="1" t="s">
        <v>639</v>
      </c>
      <c r="H190" s="1" t="s">
        <v>15</v>
      </c>
      <c r="I190" s="1" t="s">
        <v>25</v>
      </c>
      <c r="J190" s="1" t="s">
        <v>13</v>
      </c>
      <c r="K190" s="1" t="s">
        <v>640</v>
      </c>
      <c r="L190" s="1" t="s">
        <v>59</v>
      </c>
    </row>
    <row r="191" spans="2:13" ht="12.75" x14ac:dyDescent="0.2">
      <c r="B191" s="2">
        <v>43064.70639821759</v>
      </c>
      <c r="C191" s="1" t="s">
        <v>641</v>
      </c>
      <c r="D191" s="1">
        <v>1990</v>
      </c>
      <c r="E191" s="1">
        <v>9840556916</v>
      </c>
      <c r="F191" s="1" t="s">
        <v>13</v>
      </c>
      <c r="G191" s="1" t="s">
        <v>25</v>
      </c>
      <c r="H191" s="1" t="s">
        <v>13</v>
      </c>
      <c r="I191" s="1" t="s">
        <v>25</v>
      </c>
      <c r="J191" s="1" t="s">
        <v>13</v>
      </c>
      <c r="K191" s="1" t="s">
        <v>642</v>
      </c>
      <c r="L191" s="1" t="s">
        <v>59</v>
      </c>
    </row>
    <row r="192" spans="2:13" ht="12.75" x14ac:dyDescent="0.2">
      <c r="B192" s="2">
        <v>43064.781586296296</v>
      </c>
      <c r="C192" s="1" t="s">
        <v>643</v>
      </c>
      <c r="D192" s="1">
        <v>1990</v>
      </c>
      <c r="E192" s="1">
        <v>9884832397</v>
      </c>
      <c r="F192" s="1" t="s">
        <v>13</v>
      </c>
      <c r="G192" s="1">
        <v>1</v>
      </c>
      <c r="H192" s="1" t="s">
        <v>13</v>
      </c>
      <c r="I192" s="1" t="s">
        <v>13</v>
      </c>
      <c r="J192" s="1" t="s">
        <v>25</v>
      </c>
      <c r="K192" s="1" t="s">
        <v>644</v>
      </c>
      <c r="L192" s="1" t="s">
        <v>59</v>
      </c>
    </row>
    <row r="193" spans="2:12" ht="12.75" x14ac:dyDescent="0.2">
      <c r="B193" s="2">
        <v>43064.80422982639</v>
      </c>
      <c r="C193" s="1" t="s">
        <v>645</v>
      </c>
      <c r="D193" s="3">
        <v>1990</v>
      </c>
      <c r="E193" s="1">
        <v>9003270133</v>
      </c>
      <c r="F193" s="1" t="s">
        <v>13</v>
      </c>
      <c r="G193" s="1" t="s">
        <v>646</v>
      </c>
      <c r="H193" s="1">
        <v>4</v>
      </c>
      <c r="I193" s="1" t="s">
        <v>13</v>
      </c>
      <c r="J193" s="1" t="s">
        <v>13</v>
      </c>
      <c r="K193" s="1" t="s">
        <v>647</v>
      </c>
      <c r="L193" s="1" t="s">
        <v>648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53"/>
  <sheetViews>
    <sheetView workbookViewId="0">
      <pane xSplit="5" ySplit="1" topLeftCell="M225" activePane="bottomRight" state="frozen"/>
      <selection pane="topRight" activeCell="F1" sqref="F1"/>
      <selection pane="bottomLeft" activeCell="A2" sqref="A2"/>
      <selection pane="bottomRight" activeCell="T253" sqref="T253"/>
    </sheetView>
  </sheetViews>
  <sheetFormatPr defaultRowHeight="12.75" x14ac:dyDescent="0.2"/>
  <cols>
    <col min="2" max="2" width="18.140625" bestFit="1" customWidth="1"/>
    <col min="3" max="3" width="18.140625" customWidth="1"/>
    <col min="4" max="4" width="22.42578125" customWidth="1"/>
    <col min="6" max="6" width="17.7109375" customWidth="1"/>
    <col min="12" max="12" width="34.28515625" bestFit="1" customWidth="1"/>
    <col min="13" max="13" width="32.140625" customWidth="1"/>
    <col min="17" max="17" width="10.140625" bestFit="1" customWidth="1"/>
  </cols>
  <sheetData>
    <row r="1" spans="1:20" x14ac:dyDescent="0.2">
      <c r="A1" t="s">
        <v>649</v>
      </c>
      <c r="B1" t="s">
        <v>0</v>
      </c>
      <c r="C1" t="s">
        <v>650</v>
      </c>
      <c r="D1" s="3" t="s">
        <v>1</v>
      </c>
      <c r="E1" s="3" t="s">
        <v>2</v>
      </c>
      <c r="F1" s="3" t="s">
        <v>3</v>
      </c>
      <c r="G1" t="s">
        <v>4</v>
      </c>
      <c r="H1" s="3" t="s">
        <v>5</v>
      </c>
      <c r="I1" s="3" t="s">
        <v>6</v>
      </c>
      <c r="J1" t="s">
        <v>7</v>
      </c>
      <c r="K1" t="s">
        <v>8</v>
      </c>
      <c r="L1" s="3" t="s">
        <v>9</v>
      </c>
      <c r="M1" s="3" t="s">
        <v>10</v>
      </c>
      <c r="N1" s="4" t="s">
        <v>687</v>
      </c>
      <c r="O1" s="4" t="s">
        <v>688</v>
      </c>
      <c r="P1" s="4" t="s">
        <v>689</v>
      </c>
      <c r="Q1" s="4" t="s">
        <v>690</v>
      </c>
      <c r="R1" s="4" t="s">
        <v>691</v>
      </c>
      <c r="S1" s="4" t="s">
        <v>692</v>
      </c>
      <c r="T1" s="4" t="s">
        <v>693</v>
      </c>
    </row>
    <row r="2" spans="1:20" x14ac:dyDescent="0.2">
      <c r="B2" s="2">
        <v>43047.751034525463</v>
      </c>
      <c r="C2" s="2" t="s">
        <v>651</v>
      </c>
      <c r="D2" s="3" t="s">
        <v>11</v>
      </c>
      <c r="E2" s="3">
        <v>1968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13</v>
      </c>
      <c r="K2" s="3" t="s">
        <v>13</v>
      </c>
      <c r="L2" s="3" t="s">
        <v>16</v>
      </c>
      <c r="M2" s="3" t="s">
        <v>17</v>
      </c>
      <c r="N2" s="3" t="s">
        <v>698</v>
      </c>
    </row>
    <row r="3" spans="1:20" x14ac:dyDescent="0.2">
      <c r="B3" s="2">
        <v>43047.752563321759</v>
      </c>
      <c r="C3" s="2" t="s">
        <v>651</v>
      </c>
      <c r="D3" s="3" t="s">
        <v>18</v>
      </c>
      <c r="E3" s="3">
        <v>1983</v>
      </c>
      <c r="F3" s="3" t="s">
        <v>19</v>
      </c>
      <c r="G3" s="3" t="s">
        <v>13</v>
      </c>
      <c r="H3" s="3">
        <v>1</v>
      </c>
      <c r="I3" s="3" t="s">
        <v>20</v>
      </c>
      <c r="J3" s="3" t="s">
        <v>13</v>
      </c>
      <c r="K3" s="3" t="s">
        <v>13</v>
      </c>
      <c r="L3" s="3" t="s">
        <v>21</v>
      </c>
      <c r="M3" s="3" t="s">
        <v>22</v>
      </c>
    </row>
    <row r="4" spans="1:20" x14ac:dyDescent="0.2">
      <c r="B4" s="2">
        <v>43047.755484039357</v>
      </c>
      <c r="C4" s="2" t="s">
        <v>651</v>
      </c>
      <c r="D4" s="3" t="s">
        <v>29</v>
      </c>
      <c r="E4" s="3">
        <v>1988</v>
      </c>
      <c r="F4" s="3">
        <v>971502471199</v>
      </c>
      <c r="G4" s="3" t="s">
        <v>13</v>
      </c>
      <c r="H4" s="3" t="s">
        <v>30</v>
      </c>
      <c r="I4" s="3" t="s">
        <v>15</v>
      </c>
      <c r="J4" s="3" t="s">
        <v>13</v>
      </c>
      <c r="K4" s="3" t="s">
        <v>13</v>
      </c>
      <c r="L4" s="3" t="s">
        <v>31</v>
      </c>
      <c r="M4" s="3" t="s">
        <v>32</v>
      </c>
    </row>
    <row r="5" spans="1:20" x14ac:dyDescent="0.2">
      <c r="B5" s="2">
        <v>43047.757646064812</v>
      </c>
      <c r="C5" s="2" t="s">
        <v>651</v>
      </c>
      <c r="D5" s="3" t="s">
        <v>33</v>
      </c>
      <c r="E5" s="3">
        <v>1968</v>
      </c>
      <c r="F5" s="3" t="s">
        <v>34</v>
      </c>
      <c r="G5" s="3" t="s">
        <v>13</v>
      </c>
      <c r="H5" s="3">
        <v>2</v>
      </c>
      <c r="I5" s="3" t="s">
        <v>35</v>
      </c>
      <c r="J5" s="3" t="s">
        <v>13</v>
      </c>
      <c r="K5" s="3" t="s">
        <v>13</v>
      </c>
      <c r="L5" s="3" t="s">
        <v>36</v>
      </c>
      <c r="M5" s="3" t="s">
        <v>37</v>
      </c>
    </row>
    <row r="6" spans="1:20" x14ac:dyDescent="0.2">
      <c r="B6" s="2">
        <v>43047.758797615737</v>
      </c>
      <c r="C6" s="2" t="s">
        <v>651</v>
      </c>
      <c r="D6" s="3" t="s">
        <v>38</v>
      </c>
      <c r="E6" s="3">
        <v>1992</v>
      </c>
      <c r="F6" s="3" t="s">
        <v>39</v>
      </c>
      <c r="G6" s="3" t="s">
        <v>13</v>
      </c>
      <c r="H6" s="3" t="s">
        <v>40</v>
      </c>
      <c r="I6" s="3" t="s">
        <v>41</v>
      </c>
      <c r="J6" s="3" t="s">
        <v>13</v>
      </c>
      <c r="K6" s="3" t="s">
        <v>13</v>
      </c>
      <c r="L6" s="3" t="s">
        <v>42</v>
      </c>
      <c r="M6" s="3" t="s">
        <v>17</v>
      </c>
      <c r="N6" s="3" t="s">
        <v>13</v>
      </c>
      <c r="O6">
        <v>1</v>
      </c>
      <c r="Q6" s="3" t="s">
        <v>697</v>
      </c>
      <c r="R6">
        <v>200</v>
      </c>
      <c r="S6">
        <v>100</v>
      </c>
    </row>
    <row r="7" spans="1:20" x14ac:dyDescent="0.2">
      <c r="B7" s="2">
        <v>43047.762153113421</v>
      </c>
      <c r="C7" s="2" t="s">
        <v>651</v>
      </c>
      <c r="D7" s="3" t="s">
        <v>53</v>
      </c>
      <c r="E7" s="3">
        <v>1992</v>
      </c>
      <c r="F7" s="3" t="s">
        <v>54</v>
      </c>
      <c r="G7" s="3" t="s">
        <v>13</v>
      </c>
      <c r="H7" s="3">
        <v>1</v>
      </c>
      <c r="I7" s="3" t="s">
        <v>41</v>
      </c>
      <c r="J7" s="3" t="s">
        <v>13</v>
      </c>
      <c r="K7" s="3" t="s">
        <v>25</v>
      </c>
      <c r="L7" s="3" t="s">
        <v>55</v>
      </c>
      <c r="M7" s="3" t="s">
        <v>17</v>
      </c>
    </row>
    <row r="8" spans="1:20" x14ac:dyDescent="0.2">
      <c r="B8" s="2">
        <v>43047.763699016199</v>
      </c>
      <c r="C8" s="2" t="s">
        <v>651</v>
      </c>
      <c r="D8" s="3" t="s">
        <v>56</v>
      </c>
      <c r="E8" s="3">
        <v>1988</v>
      </c>
      <c r="F8" s="3" t="s">
        <v>57</v>
      </c>
      <c r="G8" s="3" t="s">
        <v>13</v>
      </c>
      <c r="H8" s="3">
        <v>1</v>
      </c>
      <c r="I8" s="3" t="s">
        <v>41</v>
      </c>
      <c r="J8" s="3" t="s">
        <v>13</v>
      </c>
      <c r="K8" s="3" t="s">
        <v>13</v>
      </c>
      <c r="L8" s="3" t="s">
        <v>58</v>
      </c>
      <c r="M8" s="3" t="s">
        <v>59</v>
      </c>
    </row>
    <row r="9" spans="1:20" x14ac:dyDescent="0.2">
      <c r="B9" s="2">
        <v>43047.765137303242</v>
      </c>
      <c r="C9" s="2" t="s">
        <v>651</v>
      </c>
      <c r="D9" s="3" t="s">
        <v>60</v>
      </c>
      <c r="E9" s="3">
        <v>2009</v>
      </c>
      <c r="F9" s="3" t="s">
        <v>61</v>
      </c>
      <c r="G9" s="3" t="s">
        <v>13</v>
      </c>
      <c r="H9" s="3" t="s">
        <v>62</v>
      </c>
      <c r="I9" s="3" t="s">
        <v>15</v>
      </c>
      <c r="J9" s="3" t="s">
        <v>25</v>
      </c>
      <c r="K9" s="3" t="s">
        <v>13</v>
      </c>
      <c r="L9" s="3" t="s">
        <v>63</v>
      </c>
      <c r="M9" s="3" t="s">
        <v>17</v>
      </c>
    </row>
    <row r="10" spans="1:20" x14ac:dyDescent="0.2">
      <c r="B10" s="2">
        <v>43047.771893831014</v>
      </c>
      <c r="C10" s="2" t="s">
        <v>651</v>
      </c>
      <c r="D10" s="3" t="s">
        <v>64</v>
      </c>
      <c r="E10" s="3">
        <v>1980</v>
      </c>
      <c r="F10" s="3" t="s">
        <v>65</v>
      </c>
      <c r="G10" s="3" t="s">
        <v>13</v>
      </c>
      <c r="H10" s="3" t="s">
        <v>66</v>
      </c>
      <c r="I10" s="3" t="s">
        <v>67</v>
      </c>
      <c r="J10" s="3" t="s">
        <v>13</v>
      </c>
      <c r="K10" s="3" t="s">
        <v>13</v>
      </c>
      <c r="L10" s="3" t="s">
        <v>68</v>
      </c>
      <c r="M10" s="3" t="s">
        <v>69</v>
      </c>
    </row>
    <row r="11" spans="1:20" x14ac:dyDescent="0.2">
      <c r="B11" s="2">
        <v>43047.774098229165</v>
      </c>
      <c r="C11" s="2" t="s">
        <v>651</v>
      </c>
      <c r="D11" s="3" t="s">
        <v>70</v>
      </c>
      <c r="E11" s="3">
        <v>1995</v>
      </c>
      <c r="F11" s="3" t="s">
        <v>71</v>
      </c>
      <c r="G11" s="3" t="s">
        <v>13</v>
      </c>
      <c r="H11" s="3" t="s">
        <v>72</v>
      </c>
      <c r="I11" s="3" t="s">
        <v>35</v>
      </c>
      <c r="J11" s="3" t="s">
        <v>13</v>
      </c>
      <c r="K11" s="3" t="s">
        <v>13</v>
      </c>
      <c r="L11" s="3" t="s">
        <v>73</v>
      </c>
      <c r="M11" s="3" t="s">
        <v>59</v>
      </c>
      <c r="N11" s="3" t="s">
        <v>13</v>
      </c>
      <c r="O11">
        <v>2</v>
      </c>
      <c r="P11">
        <v>2</v>
      </c>
      <c r="R11">
        <v>400</v>
      </c>
      <c r="S11">
        <v>100</v>
      </c>
    </row>
    <row r="12" spans="1:20" x14ac:dyDescent="0.2">
      <c r="B12" s="2">
        <v>43047.797404212964</v>
      </c>
      <c r="C12" s="2" t="s">
        <v>651</v>
      </c>
      <c r="D12" s="3" t="s">
        <v>79</v>
      </c>
      <c r="E12" s="3">
        <v>1972</v>
      </c>
      <c r="F12" s="3" t="s">
        <v>80</v>
      </c>
      <c r="G12" s="3" t="s">
        <v>13</v>
      </c>
      <c r="H12" s="3" t="s">
        <v>81</v>
      </c>
      <c r="I12" s="3" t="s">
        <v>82</v>
      </c>
      <c r="J12" s="3" t="s">
        <v>13</v>
      </c>
      <c r="K12" s="3" t="s">
        <v>13</v>
      </c>
      <c r="L12" s="3" t="s">
        <v>83</v>
      </c>
      <c r="M12" s="3" t="s">
        <v>84</v>
      </c>
    </row>
    <row r="13" spans="1:20" x14ac:dyDescent="0.2">
      <c r="B13" s="2">
        <v>43047.799655358795</v>
      </c>
      <c r="C13" s="2" t="s">
        <v>651</v>
      </c>
      <c r="D13" s="3" t="s">
        <v>85</v>
      </c>
      <c r="E13" s="3">
        <v>1969</v>
      </c>
      <c r="F13" s="3" t="s">
        <v>86</v>
      </c>
      <c r="G13" s="3" t="s">
        <v>13</v>
      </c>
      <c r="H13" s="3" t="s">
        <v>87</v>
      </c>
      <c r="I13" s="3" t="s">
        <v>20</v>
      </c>
      <c r="J13" s="3" t="s">
        <v>25</v>
      </c>
      <c r="K13" s="3" t="s">
        <v>25</v>
      </c>
      <c r="L13" s="3" t="s">
        <v>88</v>
      </c>
      <c r="M13" s="3" t="s">
        <v>89</v>
      </c>
    </row>
    <row r="14" spans="1:20" x14ac:dyDescent="0.2">
      <c r="B14" s="2">
        <v>43047.802054189815</v>
      </c>
      <c r="C14" s="2" t="s">
        <v>651</v>
      </c>
      <c r="D14" s="3" t="s">
        <v>90</v>
      </c>
      <c r="E14" s="3">
        <v>1972</v>
      </c>
      <c r="F14" s="3" t="s">
        <v>91</v>
      </c>
      <c r="G14" s="3" t="s">
        <v>13</v>
      </c>
      <c r="H14" s="3" t="s">
        <v>92</v>
      </c>
      <c r="I14" s="3" t="s">
        <v>15</v>
      </c>
      <c r="J14" s="3" t="s">
        <v>13</v>
      </c>
      <c r="K14" s="3" t="s">
        <v>13</v>
      </c>
      <c r="L14" s="3" t="s">
        <v>93</v>
      </c>
      <c r="M14" s="3" t="s">
        <v>94</v>
      </c>
    </row>
    <row r="15" spans="1:20" x14ac:dyDescent="0.2">
      <c r="B15" s="2">
        <v>43047.814857291669</v>
      </c>
      <c r="C15" s="2" t="s">
        <v>651</v>
      </c>
      <c r="D15" s="3" t="s">
        <v>99</v>
      </c>
      <c r="E15" s="3">
        <v>1968</v>
      </c>
      <c r="F15" s="3" t="s">
        <v>100</v>
      </c>
      <c r="G15" s="3" t="s">
        <v>13</v>
      </c>
      <c r="H15" s="3" t="s">
        <v>101</v>
      </c>
      <c r="I15" s="3" t="s">
        <v>15</v>
      </c>
      <c r="J15" s="3" t="s">
        <v>13</v>
      </c>
      <c r="K15" s="3" t="s">
        <v>13</v>
      </c>
      <c r="L15" s="3" t="s">
        <v>102</v>
      </c>
      <c r="M15" s="3" t="s">
        <v>103</v>
      </c>
    </row>
    <row r="16" spans="1:20" x14ac:dyDescent="0.2">
      <c r="B16" s="2">
        <v>43047.839898657403</v>
      </c>
      <c r="C16" s="2" t="s">
        <v>651</v>
      </c>
      <c r="D16" s="3" t="s">
        <v>104</v>
      </c>
      <c r="E16" s="3">
        <v>1971</v>
      </c>
      <c r="F16" s="3" t="s">
        <v>105</v>
      </c>
      <c r="G16" s="3" t="s">
        <v>13</v>
      </c>
      <c r="H16" s="3">
        <v>2</v>
      </c>
      <c r="I16" s="3" t="s">
        <v>15</v>
      </c>
      <c r="J16" s="3" t="s">
        <v>13</v>
      </c>
      <c r="K16" s="3" t="s">
        <v>13</v>
      </c>
      <c r="L16" s="3" t="s">
        <v>106</v>
      </c>
      <c r="M16" s="3" t="s">
        <v>107</v>
      </c>
    </row>
    <row r="17" spans="2:19" x14ac:dyDescent="0.2">
      <c r="B17" s="2">
        <v>43047.841818807872</v>
      </c>
      <c r="C17" s="2" t="s">
        <v>651</v>
      </c>
      <c r="D17" s="3" t="s">
        <v>108</v>
      </c>
      <c r="E17" s="3">
        <v>1974</v>
      </c>
      <c r="F17" s="3" t="s">
        <v>109</v>
      </c>
      <c r="G17" s="3" t="s">
        <v>13</v>
      </c>
      <c r="H17" s="3" t="s">
        <v>45</v>
      </c>
      <c r="I17" s="3" t="s">
        <v>110</v>
      </c>
      <c r="J17" s="3" t="s">
        <v>13</v>
      </c>
      <c r="K17" s="3" t="s">
        <v>13</v>
      </c>
      <c r="L17" s="3" t="s">
        <v>111</v>
      </c>
      <c r="M17" s="3" t="s">
        <v>112</v>
      </c>
    </row>
    <row r="18" spans="2:19" x14ac:dyDescent="0.2">
      <c r="B18" s="2">
        <v>43047.845309988421</v>
      </c>
      <c r="C18" s="2" t="s">
        <v>651</v>
      </c>
      <c r="D18" s="3" t="s">
        <v>113</v>
      </c>
      <c r="E18" s="3">
        <v>1971</v>
      </c>
      <c r="F18" s="3" t="s">
        <v>114</v>
      </c>
      <c r="G18" s="3" t="s">
        <v>13</v>
      </c>
      <c r="H18" s="3" t="s">
        <v>115</v>
      </c>
      <c r="I18" s="3" t="s">
        <v>20</v>
      </c>
      <c r="J18" s="3" t="s">
        <v>13</v>
      </c>
      <c r="K18" s="3" t="s">
        <v>13</v>
      </c>
      <c r="L18" s="3" t="s">
        <v>116</v>
      </c>
      <c r="M18" s="3" t="s">
        <v>17</v>
      </c>
    </row>
    <row r="19" spans="2:19" x14ac:dyDescent="0.2">
      <c r="B19" s="2">
        <v>43047.84710407407</v>
      </c>
      <c r="C19" s="2" t="s">
        <v>651</v>
      </c>
      <c r="D19" s="3" t="s">
        <v>117</v>
      </c>
      <c r="E19" s="3">
        <v>1988</v>
      </c>
      <c r="F19" s="3" t="s">
        <v>118</v>
      </c>
      <c r="G19" s="3" t="s">
        <v>13</v>
      </c>
      <c r="H19" s="3">
        <v>1</v>
      </c>
      <c r="I19" s="3" t="s">
        <v>41</v>
      </c>
      <c r="J19" s="3" t="s">
        <v>13</v>
      </c>
      <c r="K19" s="3" t="s">
        <v>13</v>
      </c>
      <c r="L19" s="3" t="s">
        <v>119</v>
      </c>
      <c r="M19" s="3" t="s">
        <v>17</v>
      </c>
    </row>
    <row r="20" spans="2:19" x14ac:dyDescent="0.2">
      <c r="B20" s="2">
        <v>43047.858618356477</v>
      </c>
      <c r="C20" s="2" t="s">
        <v>651</v>
      </c>
      <c r="D20" s="3" t="s">
        <v>124</v>
      </c>
      <c r="E20" s="3">
        <v>1975</v>
      </c>
      <c r="F20" s="3">
        <v>919841022628</v>
      </c>
      <c r="G20" s="3" t="s">
        <v>13</v>
      </c>
      <c r="H20" s="3" t="s">
        <v>125</v>
      </c>
      <c r="I20" s="3" t="s">
        <v>35</v>
      </c>
      <c r="J20" s="3" t="s">
        <v>13</v>
      </c>
      <c r="K20" s="3" t="s">
        <v>13</v>
      </c>
      <c r="L20" s="3" t="s">
        <v>126</v>
      </c>
      <c r="M20" s="3" t="s">
        <v>84</v>
      </c>
    </row>
    <row r="21" spans="2:19" x14ac:dyDescent="0.2">
      <c r="B21" s="2">
        <v>43047.9385993287</v>
      </c>
      <c r="C21" s="2" t="s">
        <v>651</v>
      </c>
      <c r="D21" s="3" t="s">
        <v>139</v>
      </c>
      <c r="E21" s="3">
        <v>1972</v>
      </c>
      <c r="F21" s="3" t="s">
        <v>140</v>
      </c>
      <c r="G21" s="3" t="s">
        <v>13</v>
      </c>
      <c r="H21" s="3" t="s">
        <v>62</v>
      </c>
      <c r="I21" s="3" t="s">
        <v>141</v>
      </c>
      <c r="J21" s="3" t="s">
        <v>13</v>
      </c>
      <c r="K21" s="3" t="s">
        <v>13</v>
      </c>
      <c r="L21" s="3" t="s">
        <v>142</v>
      </c>
      <c r="M21" s="3" t="s">
        <v>59</v>
      </c>
    </row>
    <row r="22" spans="2:19" x14ac:dyDescent="0.2">
      <c r="B22" s="2">
        <v>43047.945890810181</v>
      </c>
      <c r="C22" s="2" t="s">
        <v>651</v>
      </c>
      <c r="D22" s="3" t="s">
        <v>143</v>
      </c>
      <c r="E22" s="3">
        <v>1974</v>
      </c>
      <c r="F22" s="3">
        <v>919841879318</v>
      </c>
      <c r="G22" s="3" t="s">
        <v>13</v>
      </c>
      <c r="H22" s="3" t="s">
        <v>144</v>
      </c>
      <c r="I22" s="3" t="s">
        <v>41</v>
      </c>
      <c r="J22" s="3" t="s">
        <v>13</v>
      </c>
      <c r="K22" s="3" t="s">
        <v>25</v>
      </c>
      <c r="L22" s="3" t="s">
        <v>145</v>
      </c>
      <c r="M22" s="3" t="s">
        <v>146</v>
      </c>
      <c r="N22" s="3" t="s">
        <v>13</v>
      </c>
      <c r="O22">
        <v>1</v>
      </c>
      <c r="R22">
        <v>200</v>
      </c>
      <c r="S22">
        <v>100</v>
      </c>
    </row>
    <row r="23" spans="2:19" x14ac:dyDescent="0.2">
      <c r="B23" s="2">
        <v>43047.970304965274</v>
      </c>
      <c r="C23" s="2" t="s">
        <v>651</v>
      </c>
      <c r="D23" s="3" t="s">
        <v>147</v>
      </c>
      <c r="E23" s="3">
        <v>1988</v>
      </c>
      <c r="F23" s="3" t="s">
        <v>148</v>
      </c>
      <c r="G23" s="3" t="s">
        <v>13</v>
      </c>
      <c r="H23" s="3">
        <v>1</v>
      </c>
      <c r="I23" s="3" t="s">
        <v>41</v>
      </c>
      <c r="J23" s="3" t="s">
        <v>13</v>
      </c>
      <c r="K23" s="3" t="s">
        <v>13</v>
      </c>
      <c r="L23" s="3" t="s">
        <v>149</v>
      </c>
      <c r="M23" s="3" t="s">
        <v>150</v>
      </c>
    </row>
    <row r="24" spans="2:19" x14ac:dyDescent="0.2">
      <c r="B24" s="2">
        <v>43048.088361712958</v>
      </c>
      <c r="C24" s="2" t="s">
        <v>651</v>
      </c>
      <c r="D24" s="3" t="s">
        <v>151</v>
      </c>
      <c r="E24" s="3">
        <v>1991</v>
      </c>
      <c r="F24" s="3" t="s">
        <v>152</v>
      </c>
      <c r="G24" s="3" t="s">
        <v>13</v>
      </c>
      <c r="H24" s="3">
        <v>1</v>
      </c>
      <c r="I24" s="3" t="s">
        <v>153</v>
      </c>
      <c r="J24" s="3" t="s">
        <v>25</v>
      </c>
      <c r="K24" s="3" t="s">
        <v>25</v>
      </c>
      <c r="L24" s="3" t="s">
        <v>154</v>
      </c>
      <c r="M24" s="3" t="s">
        <v>59</v>
      </c>
    </row>
    <row r="25" spans="2:19" x14ac:dyDescent="0.2">
      <c r="B25" s="2">
        <v>43048.092233587959</v>
      </c>
      <c r="C25" s="2" t="s">
        <v>651</v>
      </c>
      <c r="D25" s="3" t="s">
        <v>155</v>
      </c>
      <c r="E25" s="3">
        <v>1972</v>
      </c>
      <c r="F25" s="3" t="s">
        <v>156</v>
      </c>
      <c r="G25" s="3" t="s">
        <v>13</v>
      </c>
      <c r="H25" s="3">
        <v>1</v>
      </c>
      <c r="I25" s="3" t="s">
        <v>15</v>
      </c>
      <c r="J25" s="3" t="s">
        <v>25</v>
      </c>
      <c r="K25" s="3" t="s">
        <v>13</v>
      </c>
      <c r="L25" s="3" t="s">
        <v>157</v>
      </c>
      <c r="M25" s="3" t="s">
        <v>158</v>
      </c>
      <c r="N25" s="3" t="s">
        <v>13</v>
      </c>
      <c r="O25">
        <v>2</v>
      </c>
      <c r="R25">
        <v>400</v>
      </c>
      <c r="S25">
        <v>100</v>
      </c>
    </row>
    <row r="26" spans="2:19" x14ac:dyDescent="0.2">
      <c r="B26" s="2">
        <v>43048.262768483793</v>
      </c>
      <c r="C26" s="2" t="s">
        <v>651</v>
      </c>
      <c r="D26" s="3" t="s">
        <v>159</v>
      </c>
      <c r="E26" s="3">
        <v>1993</v>
      </c>
      <c r="F26" s="3" t="s">
        <v>160</v>
      </c>
      <c r="G26" s="3" t="s">
        <v>13</v>
      </c>
      <c r="H26" s="3">
        <v>3</v>
      </c>
      <c r="I26" s="3" t="s">
        <v>41</v>
      </c>
      <c r="J26" s="3" t="s">
        <v>25</v>
      </c>
      <c r="K26" s="3" t="s">
        <v>13</v>
      </c>
      <c r="L26" s="3" t="s">
        <v>161</v>
      </c>
      <c r="M26" s="3" t="s">
        <v>17</v>
      </c>
    </row>
    <row r="27" spans="2:19" x14ac:dyDescent="0.2">
      <c r="B27" s="2">
        <v>43048.302860983793</v>
      </c>
      <c r="C27" s="2" t="s">
        <v>651</v>
      </c>
      <c r="D27" s="3" t="s">
        <v>162</v>
      </c>
      <c r="E27" s="3">
        <v>1983</v>
      </c>
      <c r="F27" s="3" t="s">
        <v>163</v>
      </c>
      <c r="G27" s="3" t="s">
        <v>13</v>
      </c>
      <c r="H27" s="3">
        <v>2</v>
      </c>
      <c r="I27" s="3" t="s">
        <v>20</v>
      </c>
      <c r="J27" s="3" t="s">
        <v>13</v>
      </c>
      <c r="K27" s="3" t="s">
        <v>25</v>
      </c>
      <c r="L27" s="3" t="s">
        <v>164</v>
      </c>
      <c r="M27" s="3" t="s">
        <v>146</v>
      </c>
    </row>
    <row r="28" spans="2:19" x14ac:dyDescent="0.2">
      <c r="B28" s="2">
        <v>43048.420464016206</v>
      </c>
      <c r="C28" s="2" t="s">
        <v>651</v>
      </c>
      <c r="D28" s="3" t="s">
        <v>172</v>
      </c>
      <c r="E28" s="3">
        <v>1992</v>
      </c>
      <c r="F28" s="3" t="s">
        <v>173</v>
      </c>
      <c r="G28" s="3" t="s">
        <v>13</v>
      </c>
      <c r="H28" s="3">
        <v>1</v>
      </c>
      <c r="I28" s="3" t="s">
        <v>174</v>
      </c>
      <c r="J28" s="3" t="s">
        <v>25</v>
      </c>
      <c r="K28" s="3" t="s">
        <v>25</v>
      </c>
      <c r="L28" s="3" t="s">
        <v>175</v>
      </c>
      <c r="M28" s="3" t="s">
        <v>176</v>
      </c>
    </row>
    <row r="29" spans="2:19" x14ac:dyDescent="0.2">
      <c r="B29" s="2">
        <v>43048.421286006946</v>
      </c>
      <c r="C29" s="2" t="s">
        <v>651</v>
      </c>
      <c r="D29" s="3" t="s">
        <v>177</v>
      </c>
      <c r="E29" s="3">
        <v>1992</v>
      </c>
      <c r="F29" s="3" t="s">
        <v>178</v>
      </c>
      <c r="G29" s="3" t="s">
        <v>13</v>
      </c>
      <c r="H29" s="3">
        <v>1</v>
      </c>
      <c r="I29" s="3" t="s">
        <v>35</v>
      </c>
      <c r="J29" s="3" t="s">
        <v>25</v>
      </c>
      <c r="K29" s="3" t="s">
        <v>25</v>
      </c>
      <c r="L29" s="3" t="s">
        <v>179</v>
      </c>
      <c r="M29" s="3" t="s">
        <v>176</v>
      </c>
    </row>
    <row r="30" spans="2:19" x14ac:dyDescent="0.2">
      <c r="B30" s="2">
        <v>43048.423103194444</v>
      </c>
      <c r="C30" s="2" t="s">
        <v>651</v>
      </c>
      <c r="D30" s="3" t="s">
        <v>180</v>
      </c>
      <c r="E30" s="3">
        <v>1972</v>
      </c>
      <c r="F30" s="3" t="s">
        <v>181</v>
      </c>
      <c r="G30" s="3" t="s">
        <v>13</v>
      </c>
      <c r="H30" s="3" t="s">
        <v>182</v>
      </c>
      <c r="I30" s="3" t="s">
        <v>141</v>
      </c>
      <c r="J30" s="3" t="s">
        <v>25</v>
      </c>
      <c r="K30" s="3" t="s">
        <v>13</v>
      </c>
      <c r="L30" s="3" t="s">
        <v>183</v>
      </c>
      <c r="M30" s="3" t="s">
        <v>184</v>
      </c>
    </row>
    <row r="31" spans="2:19" x14ac:dyDescent="0.2">
      <c r="B31" s="2">
        <v>43048.430851087964</v>
      </c>
      <c r="C31" s="2" t="s">
        <v>651</v>
      </c>
      <c r="D31" s="3" t="s">
        <v>185</v>
      </c>
      <c r="E31" s="3">
        <v>1988</v>
      </c>
      <c r="F31" s="3" t="s">
        <v>186</v>
      </c>
      <c r="G31" s="3" t="s">
        <v>13</v>
      </c>
      <c r="H31" s="3" t="s">
        <v>187</v>
      </c>
      <c r="I31" s="3" t="s">
        <v>188</v>
      </c>
      <c r="J31" s="3" t="s">
        <v>13</v>
      </c>
      <c r="K31" s="3" t="s">
        <v>13</v>
      </c>
      <c r="L31" s="3" t="s">
        <v>189</v>
      </c>
      <c r="M31" s="3" t="s">
        <v>17</v>
      </c>
    </row>
    <row r="32" spans="2:19" x14ac:dyDescent="0.2">
      <c r="B32" s="2">
        <v>43048.458668923609</v>
      </c>
      <c r="C32" s="2" t="s">
        <v>651</v>
      </c>
      <c r="D32" s="3" t="s">
        <v>190</v>
      </c>
      <c r="E32" s="3">
        <v>2006</v>
      </c>
      <c r="F32" s="3" t="s">
        <v>191</v>
      </c>
      <c r="G32" s="3" t="s">
        <v>13</v>
      </c>
      <c r="H32" s="3">
        <v>1</v>
      </c>
      <c r="I32" s="3" t="s">
        <v>35</v>
      </c>
      <c r="J32" s="3" t="s">
        <v>25</v>
      </c>
      <c r="K32" s="3" t="s">
        <v>13</v>
      </c>
      <c r="L32" s="3" t="s">
        <v>192</v>
      </c>
      <c r="M32" s="3" t="s">
        <v>193</v>
      </c>
    </row>
    <row r="33" spans="2:19" x14ac:dyDescent="0.2">
      <c r="B33" s="2">
        <v>43048.465358263886</v>
      </c>
      <c r="C33" s="2" t="s">
        <v>651</v>
      </c>
      <c r="D33" s="3" t="s">
        <v>194</v>
      </c>
      <c r="E33" s="3">
        <v>2006</v>
      </c>
      <c r="F33" s="3" t="s">
        <v>195</v>
      </c>
      <c r="G33" s="3" t="s">
        <v>13</v>
      </c>
      <c r="H33" s="3">
        <v>1</v>
      </c>
      <c r="I33" s="3" t="s">
        <v>35</v>
      </c>
      <c r="J33" s="3" t="s">
        <v>25</v>
      </c>
      <c r="K33" s="3" t="s">
        <v>25</v>
      </c>
      <c r="L33" s="3" t="s">
        <v>196</v>
      </c>
      <c r="M33" s="3" t="s">
        <v>197</v>
      </c>
    </row>
    <row r="34" spans="2:19" x14ac:dyDescent="0.2">
      <c r="B34" s="2">
        <v>43048.466382673607</v>
      </c>
      <c r="C34" s="2" t="s">
        <v>651</v>
      </c>
      <c r="D34" s="3" t="s">
        <v>198</v>
      </c>
      <c r="E34" s="3">
        <v>1975</v>
      </c>
      <c r="F34" s="3" t="s">
        <v>199</v>
      </c>
      <c r="G34" s="3" t="s">
        <v>13</v>
      </c>
      <c r="H34" s="3" t="s">
        <v>101</v>
      </c>
      <c r="I34" s="3" t="s">
        <v>15</v>
      </c>
      <c r="J34" s="3" t="s">
        <v>13</v>
      </c>
      <c r="K34" s="3" t="s">
        <v>13</v>
      </c>
      <c r="L34" s="3" t="s">
        <v>200</v>
      </c>
      <c r="M34" s="3" t="s">
        <v>193</v>
      </c>
    </row>
    <row r="35" spans="2:19" x14ac:dyDescent="0.2">
      <c r="B35" s="2">
        <v>43048.466857060186</v>
      </c>
      <c r="C35" s="2" t="s">
        <v>651</v>
      </c>
      <c r="D35" s="3" t="s">
        <v>201</v>
      </c>
      <c r="E35" s="3">
        <v>2005</v>
      </c>
      <c r="F35" s="3" t="s">
        <v>202</v>
      </c>
      <c r="G35" s="3" t="s">
        <v>13</v>
      </c>
      <c r="H35" s="3" t="s">
        <v>203</v>
      </c>
      <c r="I35" s="3" t="s">
        <v>15</v>
      </c>
      <c r="J35" s="3" t="s">
        <v>25</v>
      </c>
      <c r="K35" s="3" t="s">
        <v>25</v>
      </c>
      <c r="L35" s="3" t="s">
        <v>204</v>
      </c>
      <c r="M35" s="3" t="s">
        <v>205</v>
      </c>
    </row>
    <row r="36" spans="2:19" x14ac:dyDescent="0.2">
      <c r="B36" s="2">
        <v>43048.480122928246</v>
      </c>
      <c r="C36" s="2" t="s">
        <v>651</v>
      </c>
      <c r="D36" s="3" t="s">
        <v>206</v>
      </c>
      <c r="E36" s="3">
        <v>1981</v>
      </c>
      <c r="F36" s="3" t="s">
        <v>207</v>
      </c>
      <c r="G36" s="3" t="s">
        <v>13</v>
      </c>
      <c r="H36" s="3">
        <v>1</v>
      </c>
      <c r="I36" s="3" t="s">
        <v>35</v>
      </c>
      <c r="J36" s="3" t="s">
        <v>13</v>
      </c>
      <c r="K36" s="3" t="s">
        <v>13</v>
      </c>
      <c r="L36" s="3" t="s">
        <v>208</v>
      </c>
      <c r="M36" s="3" t="s">
        <v>209</v>
      </c>
    </row>
    <row r="37" spans="2:19" x14ac:dyDescent="0.2">
      <c r="B37" s="2">
        <v>43048.559830868056</v>
      </c>
      <c r="C37" s="2" t="s">
        <v>651</v>
      </c>
      <c r="D37" s="3" t="s">
        <v>215</v>
      </c>
      <c r="E37" s="3">
        <v>1977</v>
      </c>
      <c r="F37" s="3" t="s">
        <v>216</v>
      </c>
      <c r="G37" s="3" t="s">
        <v>13</v>
      </c>
      <c r="H37" s="3">
        <v>1</v>
      </c>
      <c r="I37" s="3" t="s">
        <v>15</v>
      </c>
      <c r="J37" s="3" t="s">
        <v>13</v>
      </c>
      <c r="K37" s="3" t="s">
        <v>25</v>
      </c>
      <c r="L37" s="3" t="s">
        <v>217</v>
      </c>
      <c r="M37" s="3" t="s">
        <v>218</v>
      </c>
      <c r="N37" s="3" t="s">
        <v>13</v>
      </c>
      <c r="O37">
        <v>2</v>
      </c>
      <c r="R37">
        <v>400</v>
      </c>
      <c r="S37">
        <v>100</v>
      </c>
    </row>
    <row r="38" spans="2:19" x14ac:dyDescent="0.2">
      <c r="B38" s="2">
        <v>43048.636558865735</v>
      </c>
      <c r="C38" s="2" t="s">
        <v>651</v>
      </c>
      <c r="D38" s="3" t="s">
        <v>219</v>
      </c>
      <c r="E38" s="3">
        <v>1985</v>
      </c>
      <c r="F38" s="3" t="s">
        <v>220</v>
      </c>
      <c r="G38" s="3" t="s">
        <v>13</v>
      </c>
      <c r="H38" s="3" t="s">
        <v>221</v>
      </c>
      <c r="I38" s="3" t="s">
        <v>153</v>
      </c>
      <c r="J38" s="3" t="s">
        <v>13</v>
      </c>
      <c r="K38" s="3" t="s">
        <v>13</v>
      </c>
      <c r="L38" s="3" t="s">
        <v>222</v>
      </c>
      <c r="M38" s="3" t="s">
        <v>197</v>
      </c>
    </row>
    <row r="39" spans="2:19" x14ac:dyDescent="0.2">
      <c r="B39" s="2">
        <v>43048.790748298612</v>
      </c>
      <c r="C39" s="2" t="s">
        <v>651</v>
      </c>
      <c r="D39" s="3" t="s">
        <v>223</v>
      </c>
      <c r="E39" s="3">
        <v>1972</v>
      </c>
      <c r="F39" s="3" t="s">
        <v>224</v>
      </c>
      <c r="G39" s="3" t="s">
        <v>13</v>
      </c>
      <c r="H39" s="3" t="s">
        <v>101</v>
      </c>
      <c r="I39" s="3" t="s">
        <v>15</v>
      </c>
      <c r="J39" s="3" t="s">
        <v>13</v>
      </c>
      <c r="K39" s="3" t="s">
        <v>13</v>
      </c>
      <c r="L39" s="3" t="s">
        <v>225</v>
      </c>
      <c r="M39" s="3" t="s">
        <v>226</v>
      </c>
    </row>
    <row r="40" spans="2:19" x14ac:dyDescent="0.2">
      <c r="B40" s="2">
        <v>43048.894039664352</v>
      </c>
      <c r="C40" s="2" t="s">
        <v>651</v>
      </c>
      <c r="D40" s="3" t="s">
        <v>227</v>
      </c>
      <c r="E40" s="3">
        <v>1999</v>
      </c>
      <c r="F40" s="3" t="s">
        <v>228</v>
      </c>
      <c r="G40" s="3" t="s">
        <v>13</v>
      </c>
      <c r="H40" s="3">
        <v>1</v>
      </c>
      <c r="I40" s="3" t="s">
        <v>41</v>
      </c>
      <c r="J40" s="3" t="s">
        <v>25</v>
      </c>
      <c r="K40" s="3" t="s">
        <v>13</v>
      </c>
      <c r="L40" s="3" t="s">
        <v>229</v>
      </c>
      <c r="M40" s="3" t="s">
        <v>230</v>
      </c>
    </row>
    <row r="41" spans="2:19" x14ac:dyDescent="0.2">
      <c r="B41" s="2">
        <v>43048.929119780092</v>
      </c>
      <c r="C41" s="2" t="s">
        <v>651</v>
      </c>
      <c r="D41" s="3" t="s">
        <v>235</v>
      </c>
      <c r="E41" s="3">
        <v>1995</v>
      </c>
      <c r="F41" s="3" t="s">
        <v>236</v>
      </c>
      <c r="G41" s="3" t="s">
        <v>13</v>
      </c>
      <c r="H41" s="3" t="s">
        <v>40</v>
      </c>
      <c r="I41" s="3" t="s">
        <v>141</v>
      </c>
      <c r="J41" s="3" t="s">
        <v>13</v>
      </c>
      <c r="K41" s="3" t="s">
        <v>13</v>
      </c>
      <c r="L41" s="3" t="s">
        <v>237</v>
      </c>
      <c r="M41" s="3" t="s">
        <v>17</v>
      </c>
    </row>
    <row r="42" spans="2:19" x14ac:dyDescent="0.2">
      <c r="B42" s="2">
        <v>43048.930493472217</v>
      </c>
      <c r="C42" s="2" t="s">
        <v>651</v>
      </c>
      <c r="D42" s="3" t="s">
        <v>238</v>
      </c>
      <c r="E42" s="3">
        <v>1966</v>
      </c>
      <c r="F42" s="3" t="s">
        <v>239</v>
      </c>
      <c r="G42" s="3" t="s">
        <v>13</v>
      </c>
      <c r="H42" s="3" t="s">
        <v>40</v>
      </c>
      <c r="I42" s="3" t="s">
        <v>141</v>
      </c>
      <c r="J42" s="3" t="s">
        <v>13</v>
      </c>
      <c r="K42" s="3" t="s">
        <v>13</v>
      </c>
      <c r="L42" s="3" t="s">
        <v>237</v>
      </c>
      <c r="M42" s="3" t="s">
        <v>240</v>
      </c>
    </row>
    <row r="43" spans="2:19" x14ac:dyDescent="0.2">
      <c r="B43" s="2">
        <v>43048.93191028935</v>
      </c>
      <c r="C43" s="2" t="s">
        <v>651</v>
      </c>
      <c r="D43" s="3" t="s">
        <v>241</v>
      </c>
      <c r="E43" s="3">
        <v>1954</v>
      </c>
      <c r="F43" s="3" t="s">
        <v>242</v>
      </c>
      <c r="G43" s="3" t="s">
        <v>13</v>
      </c>
      <c r="H43" s="3" t="s">
        <v>40</v>
      </c>
      <c r="I43" s="3" t="s">
        <v>141</v>
      </c>
      <c r="J43" s="3" t="s">
        <v>13</v>
      </c>
      <c r="K43" s="3" t="s">
        <v>13</v>
      </c>
      <c r="L43" s="3" t="s">
        <v>237</v>
      </c>
      <c r="M43" s="3" t="s">
        <v>17</v>
      </c>
    </row>
    <row r="44" spans="2:19" x14ac:dyDescent="0.2">
      <c r="B44" s="2">
        <v>43048.947513472223</v>
      </c>
      <c r="C44" s="2" t="s">
        <v>651</v>
      </c>
      <c r="D44" s="3" t="s">
        <v>243</v>
      </c>
      <c r="E44" s="3">
        <v>1957</v>
      </c>
      <c r="F44" s="3" t="s">
        <v>244</v>
      </c>
      <c r="G44" s="3" t="s">
        <v>13</v>
      </c>
      <c r="H44" s="3" t="s">
        <v>245</v>
      </c>
      <c r="I44" s="3" t="s">
        <v>41</v>
      </c>
      <c r="J44" s="3" t="s">
        <v>13</v>
      </c>
      <c r="K44" s="3" t="s">
        <v>25</v>
      </c>
      <c r="L44" s="3" t="s">
        <v>246</v>
      </c>
      <c r="M44" s="3" t="s">
        <v>247</v>
      </c>
    </row>
    <row r="45" spans="2:19" x14ac:dyDescent="0.2">
      <c r="B45" s="2">
        <v>43048.971371296298</v>
      </c>
      <c r="C45" s="2" t="s">
        <v>651</v>
      </c>
      <c r="D45" s="3" t="s">
        <v>248</v>
      </c>
      <c r="E45" s="3">
        <v>1977</v>
      </c>
      <c r="F45" s="3" t="s">
        <v>249</v>
      </c>
      <c r="G45" s="3" t="s">
        <v>13</v>
      </c>
      <c r="H45" s="3" t="s">
        <v>250</v>
      </c>
      <c r="I45" s="3" t="s">
        <v>141</v>
      </c>
      <c r="J45" s="3" t="s">
        <v>13</v>
      </c>
      <c r="K45" s="3" t="s">
        <v>13</v>
      </c>
      <c r="L45" s="3" t="s">
        <v>251</v>
      </c>
      <c r="M45" s="3" t="s">
        <v>252</v>
      </c>
    </row>
    <row r="46" spans="2:19" x14ac:dyDescent="0.2">
      <c r="B46" s="2">
        <v>43049.353750671296</v>
      </c>
      <c r="C46" s="2" t="s">
        <v>651</v>
      </c>
      <c r="D46" s="3" t="s">
        <v>253</v>
      </c>
      <c r="E46" s="3">
        <v>1974</v>
      </c>
      <c r="F46" s="3" t="s">
        <v>254</v>
      </c>
      <c r="G46" s="3" t="s">
        <v>13</v>
      </c>
      <c r="H46" s="3" t="s">
        <v>92</v>
      </c>
      <c r="I46" s="3" t="s">
        <v>15</v>
      </c>
      <c r="J46" s="3" t="s">
        <v>13</v>
      </c>
      <c r="K46" s="3" t="s">
        <v>13</v>
      </c>
      <c r="L46" s="3" t="s">
        <v>255</v>
      </c>
      <c r="M46" s="3" t="s">
        <v>17</v>
      </c>
      <c r="N46" s="3" t="s">
        <v>13</v>
      </c>
      <c r="O46">
        <v>1</v>
      </c>
      <c r="R46">
        <v>200</v>
      </c>
      <c r="S46">
        <v>100</v>
      </c>
    </row>
    <row r="47" spans="2:19" x14ac:dyDescent="0.2">
      <c r="B47" s="2">
        <v>43049.363256412034</v>
      </c>
      <c r="C47" s="2" t="s">
        <v>651</v>
      </c>
      <c r="D47" s="3" t="s">
        <v>256</v>
      </c>
      <c r="E47" s="3">
        <v>1981</v>
      </c>
      <c r="F47" s="3">
        <v>449789817676</v>
      </c>
      <c r="G47" s="3" t="s">
        <v>13</v>
      </c>
      <c r="H47" s="3" t="s">
        <v>257</v>
      </c>
      <c r="I47" s="3" t="s">
        <v>141</v>
      </c>
      <c r="J47" s="3" t="s">
        <v>25</v>
      </c>
      <c r="K47" s="3" t="s">
        <v>13</v>
      </c>
      <c r="L47" s="3" t="s">
        <v>258</v>
      </c>
      <c r="M47" s="3" t="s">
        <v>259</v>
      </c>
    </row>
    <row r="48" spans="2:19" x14ac:dyDescent="0.2">
      <c r="B48" s="2">
        <v>43049.712474155094</v>
      </c>
      <c r="C48" s="2" t="s">
        <v>651</v>
      </c>
      <c r="D48" s="3" t="s">
        <v>260</v>
      </c>
      <c r="E48" s="3">
        <v>1971</v>
      </c>
      <c r="F48" s="3" t="s">
        <v>261</v>
      </c>
      <c r="G48" s="3" t="s">
        <v>13</v>
      </c>
      <c r="H48" s="3" t="s">
        <v>101</v>
      </c>
      <c r="I48" s="3" t="s">
        <v>35</v>
      </c>
      <c r="J48" s="3" t="s">
        <v>13</v>
      </c>
      <c r="K48" s="3" t="s">
        <v>25</v>
      </c>
      <c r="L48" s="3" t="s">
        <v>262</v>
      </c>
      <c r="M48" s="3" t="s">
        <v>84</v>
      </c>
    </row>
    <row r="49" spans="2:19" x14ac:dyDescent="0.2">
      <c r="B49" s="2">
        <v>43050.49918392361</v>
      </c>
      <c r="C49" s="2" t="s">
        <v>651</v>
      </c>
      <c r="D49" s="3" t="s">
        <v>263</v>
      </c>
      <c r="E49" s="3">
        <v>1976</v>
      </c>
      <c r="F49" s="3" t="s">
        <v>264</v>
      </c>
      <c r="G49" s="3" t="s">
        <v>13</v>
      </c>
      <c r="H49" s="3" t="s">
        <v>81</v>
      </c>
      <c r="I49" s="3" t="s">
        <v>41</v>
      </c>
      <c r="J49" s="3" t="s">
        <v>13</v>
      </c>
      <c r="K49" s="3" t="s">
        <v>13</v>
      </c>
      <c r="L49" s="3" t="s">
        <v>265</v>
      </c>
      <c r="M49" s="3" t="s">
        <v>17</v>
      </c>
    </row>
    <row r="50" spans="2:19" x14ac:dyDescent="0.2">
      <c r="B50" s="2">
        <v>43050.766600115741</v>
      </c>
      <c r="C50" s="2" t="s">
        <v>651</v>
      </c>
      <c r="D50" s="3" t="s">
        <v>266</v>
      </c>
      <c r="E50" s="3">
        <v>1983</v>
      </c>
      <c r="F50" s="3" t="s">
        <v>267</v>
      </c>
      <c r="G50" s="3" t="s">
        <v>13</v>
      </c>
      <c r="H50" s="3">
        <v>0</v>
      </c>
      <c r="I50" s="3" t="s">
        <v>35</v>
      </c>
      <c r="J50" s="3" t="s">
        <v>25</v>
      </c>
      <c r="K50" s="3" t="s">
        <v>25</v>
      </c>
      <c r="L50" s="3" t="s">
        <v>268</v>
      </c>
      <c r="M50" s="3" t="s">
        <v>193</v>
      </c>
    </row>
    <row r="51" spans="2:19" x14ac:dyDescent="0.2">
      <c r="B51" s="2">
        <v>43050.766604375</v>
      </c>
      <c r="C51" s="2" t="s">
        <v>651</v>
      </c>
      <c r="D51" s="3" t="s">
        <v>266</v>
      </c>
      <c r="E51" s="3">
        <v>1983</v>
      </c>
      <c r="F51" s="3" t="s">
        <v>267</v>
      </c>
      <c r="G51" s="3" t="s">
        <v>13</v>
      </c>
      <c r="H51" s="3">
        <v>0</v>
      </c>
      <c r="I51" s="3" t="s">
        <v>35</v>
      </c>
      <c r="J51" s="3" t="s">
        <v>25</v>
      </c>
      <c r="K51" s="3" t="s">
        <v>25</v>
      </c>
      <c r="L51" s="3" t="s">
        <v>268</v>
      </c>
      <c r="M51" s="3" t="s">
        <v>193</v>
      </c>
    </row>
    <row r="52" spans="2:19" x14ac:dyDescent="0.2">
      <c r="B52" s="2">
        <v>43050.782382372687</v>
      </c>
      <c r="C52" s="2" t="s">
        <v>651</v>
      </c>
      <c r="D52" s="3" t="s">
        <v>269</v>
      </c>
      <c r="E52" s="3">
        <v>1976</v>
      </c>
      <c r="F52" s="3" t="s">
        <v>270</v>
      </c>
      <c r="G52" s="3" t="s">
        <v>13</v>
      </c>
      <c r="H52" s="3">
        <v>1</v>
      </c>
      <c r="I52" s="3" t="s">
        <v>15</v>
      </c>
      <c r="J52" s="3" t="s">
        <v>13</v>
      </c>
      <c r="K52" s="3" t="s">
        <v>13</v>
      </c>
      <c r="L52" s="3" t="s">
        <v>271</v>
      </c>
      <c r="M52" s="3" t="s">
        <v>59</v>
      </c>
    </row>
    <row r="53" spans="2:19" x14ac:dyDescent="0.2">
      <c r="B53" s="2">
        <v>43050.87143162037</v>
      </c>
      <c r="C53" s="2" t="s">
        <v>651</v>
      </c>
      <c r="D53" s="3" t="s">
        <v>272</v>
      </c>
      <c r="E53" s="3">
        <v>1981</v>
      </c>
      <c r="F53" s="3" t="s">
        <v>273</v>
      </c>
      <c r="G53" s="3" t="s">
        <v>13</v>
      </c>
      <c r="H53" s="3" t="s">
        <v>274</v>
      </c>
      <c r="I53" s="3" t="s">
        <v>275</v>
      </c>
      <c r="J53" s="3" t="s">
        <v>25</v>
      </c>
      <c r="K53" s="3" t="s">
        <v>25</v>
      </c>
      <c r="L53" s="3" t="s">
        <v>276</v>
      </c>
      <c r="M53" s="3" t="s">
        <v>59</v>
      </c>
    </row>
    <row r="54" spans="2:19" x14ac:dyDescent="0.2">
      <c r="B54" s="2">
        <v>43051.471701944443</v>
      </c>
      <c r="C54" s="2" t="s">
        <v>651</v>
      </c>
      <c r="D54" s="3" t="s">
        <v>277</v>
      </c>
      <c r="E54" s="3">
        <v>1957</v>
      </c>
      <c r="F54" s="3" t="s">
        <v>278</v>
      </c>
      <c r="G54" s="3" t="s">
        <v>13</v>
      </c>
      <c r="H54" s="3" t="s">
        <v>101</v>
      </c>
      <c r="I54" s="3" t="s">
        <v>279</v>
      </c>
      <c r="J54" s="3" t="s">
        <v>25</v>
      </c>
      <c r="K54" s="3" t="s">
        <v>13</v>
      </c>
      <c r="L54" s="3" t="s">
        <v>280</v>
      </c>
      <c r="M54" s="3" t="s">
        <v>226</v>
      </c>
    </row>
    <row r="55" spans="2:19" x14ac:dyDescent="0.2">
      <c r="B55" s="2">
        <v>43051.490976458328</v>
      </c>
      <c r="C55" s="2" t="s">
        <v>651</v>
      </c>
      <c r="D55" s="3" t="s">
        <v>277</v>
      </c>
      <c r="E55" s="3">
        <v>1957</v>
      </c>
      <c r="F55" s="3" t="s">
        <v>281</v>
      </c>
      <c r="G55" s="3" t="s">
        <v>13</v>
      </c>
      <c r="H55" s="3" t="s">
        <v>282</v>
      </c>
      <c r="I55" s="3" t="s">
        <v>279</v>
      </c>
      <c r="J55" s="3" t="s">
        <v>25</v>
      </c>
      <c r="K55" s="3" t="s">
        <v>13</v>
      </c>
      <c r="L55" s="3" t="s">
        <v>280</v>
      </c>
      <c r="M55" s="3" t="s">
        <v>226</v>
      </c>
    </row>
    <row r="56" spans="2:19" x14ac:dyDescent="0.2">
      <c r="B56" s="2">
        <v>43051.747110046301</v>
      </c>
      <c r="C56" s="2" t="s">
        <v>651</v>
      </c>
      <c r="D56" s="3" t="s">
        <v>287</v>
      </c>
      <c r="E56" s="3">
        <v>1980</v>
      </c>
      <c r="F56" s="3" t="s">
        <v>288</v>
      </c>
      <c r="G56" s="3" t="s">
        <v>13</v>
      </c>
      <c r="H56" s="3">
        <v>2</v>
      </c>
      <c r="I56" s="3" t="s">
        <v>289</v>
      </c>
      <c r="J56" s="3" t="s">
        <v>13</v>
      </c>
      <c r="K56" s="3" t="s">
        <v>13</v>
      </c>
      <c r="L56" s="3" t="s">
        <v>290</v>
      </c>
      <c r="M56" s="3" t="s">
        <v>59</v>
      </c>
      <c r="N56" s="3" t="s">
        <v>13</v>
      </c>
      <c r="O56">
        <v>2</v>
      </c>
      <c r="R56">
        <v>400</v>
      </c>
      <c r="S56">
        <v>100</v>
      </c>
    </row>
    <row r="57" spans="2:19" x14ac:dyDescent="0.2">
      <c r="B57" s="2">
        <v>43052.521841747686</v>
      </c>
      <c r="C57" s="2" t="s">
        <v>651</v>
      </c>
      <c r="D57" s="3" t="s">
        <v>291</v>
      </c>
      <c r="E57" s="3">
        <v>1982</v>
      </c>
      <c r="F57" s="3" t="s">
        <v>292</v>
      </c>
      <c r="G57" s="3" t="s">
        <v>13</v>
      </c>
      <c r="H57" s="3" t="s">
        <v>101</v>
      </c>
      <c r="I57" s="3" t="s">
        <v>41</v>
      </c>
      <c r="J57" s="3" t="s">
        <v>13</v>
      </c>
      <c r="K57" s="3" t="s">
        <v>25</v>
      </c>
      <c r="L57" s="3" t="s">
        <v>293</v>
      </c>
      <c r="M57" s="3" t="s">
        <v>294</v>
      </c>
    </row>
    <row r="58" spans="2:19" x14ac:dyDescent="0.2">
      <c r="B58" s="2">
        <v>43052.526836377314</v>
      </c>
      <c r="C58" s="2" t="s">
        <v>651</v>
      </c>
      <c r="D58" s="3" t="s">
        <v>295</v>
      </c>
      <c r="E58" s="3">
        <v>1985</v>
      </c>
      <c r="F58" s="3" t="s">
        <v>296</v>
      </c>
      <c r="G58" s="3" t="s">
        <v>13</v>
      </c>
      <c r="H58" s="3">
        <v>1</v>
      </c>
      <c r="I58" s="3" t="s">
        <v>297</v>
      </c>
      <c r="J58" s="3" t="s">
        <v>13</v>
      </c>
      <c r="K58" s="3" t="s">
        <v>25</v>
      </c>
      <c r="L58" s="3" t="s">
        <v>298</v>
      </c>
      <c r="M58" s="3" t="s">
        <v>84</v>
      </c>
    </row>
    <row r="59" spans="2:19" x14ac:dyDescent="0.2">
      <c r="B59" s="2">
        <v>43052.530180821763</v>
      </c>
      <c r="C59" s="2" t="s">
        <v>651</v>
      </c>
      <c r="D59" s="3" t="s">
        <v>299</v>
      </c>
      <c r="E59" s="3">
        <v>1985</v>
      </c>
      <c r="F59" s="3" t="s">
        <v>300</v>
      </c>
      <c r="G59" s="3" t="s">
        <v>13</v>
      </c>
      <c r="H59" s="3">
        <v>1</v>
      </c>
      <c r="I59" s="3" t="s">
        <v>297</v>
      </c>
      <c r="J59" s="3" t="s">
        <v>13</v>
      </c>
      <c r="K59" s="3" t="s">
        <v>25</v>
      </c>
      <c r="L59" s="3" t="s">
        <v>301</v>
      </c>
      <c r="M59" s="3" t="s">
        <v>59</v>
      </c>
    </row>
    <row r="60" spans="2:19" x14ac:dyDescent="0.2">
      <c r="B60" s="2">
        <v>43052.531692743054</v>
      </c>
      <c r="C60" s="2" t="s">
        <v>651</v>
      </c>
      <c r="D60" s="3" t="s">
        <v>302</v>
      </c>
      <c r="E60" s="3">
        <v>1985</v>
      </c>
      <c r="F60" s="3" t="s">
        <v>300</v>
      </c>
      <c r="G60" s="3" t="s">
        <v>13</v>
      </c>
      <c r="H60" s="3">
        <v>1</v>
      </c>
      <c r="I60" s="3" t="s">
        <v>297</v>
      </c>
      <c r="J60" s="3" t="s">
        <v>13</v>
      </c>
      <c r="K60" s="3" t="s">
        <v>25</v>
      </c>
      <c r="L60" s="3" t="s">
        <v>298</v>
      </c>
      <c r="M60" s="3" t="s">
        <v>59</v>
      </c>
    </row>
    <row r="61" spans="2:19" x14ac:dyDescent="0.2">
      <c r="B61" s="2">
        <v>43052.532887673609</v>
      </c>
      <c r="C61" s="2" t="s">
        <v>651</v>
      </c>
      <c r="D61" s="3" t="s">
        <v>303</v>
      </c>
      <c r="E61" s="3">
        <v>1985</v>
      </c>
      <c r="F61" s="3" t="s">
        <v>296</v>
      </c>
      <c r="G61" s="3" t="s">
        <v>13</v>
      </c>
      <c r="H61" s="3">
        <v>1</v>
      </c>
      <c r="I61" s="3" t="s">
        <v>304</v>
      </c>
      <c r="J61" s="3" t="s">
        <v>13</v>
      </c>
      <c r="K61" s="3" t="s">
        <v>25</v>
      </c>
      <c r="L61" s="3" t="s">
        <v>298</v>
      </c>
      <c r="M61" s="3" t="s">
        <v>59</v>
      </c>
    </row>
    <row r="62" spans="2:19" x14ac:dyDescent="0.2">
      <c r="B62" s="2">
        <v>43052.884442627314</v>
      </c>
      <c r="C62" s="2" t="s">
        <v>651</v>
      </c>
      <c r="D62" s="3" t="s">
        <v>305</v>
      </c>
      <c r="E62" s="3">
        <v>1977</v>
      </c>
      <c r="F62" s="3" t="s">
        <v>306</v>
      </c>
      <c r="G62" s="3" t="s">
        <v>13</v>
      </c>
      <c r="H62" s="3" t="s">
        <v>307</v>
      </c>
      <c r="I62" s="3" t="s">
        <v>308</v>
      </c>
      <c r="J62" s="3" t="s">
        <v>13</v>
      </c>
      <c r="K62" s="3" t="s">
        <v>13</v>
      </c>
      <c r="L62" s="3" t="s">
        <v>309</v>
      </c>
      <c r="M62" s="3" t="s">
        <v>310</v>
      </c>
    </row>
    <row r="63" spans="2:19" x14ac:dyDescent="0.2">
      <c r="B63" s="2">
        <v>43053.593694189811</v>
      </c>
      <c r="C63" s="2" t="s">
        <v>651</v>
      </c>
      <c r="D63" s="3" t="s">
        <v>311</v>
      </c>
      <c r="E63" s="3">
        <v>1985</v>
      </c>
      <c r="F63" s="3">
        <v>919677111806</v>
      </c>
      <c r="G63" s="3" t="s">
        <v>13</v>
      </c>
      <c r="H63" s="3" t="s">
        <v>221</v>
      </c>
      <c r="I63" s="3" t="s">
        <v>35</v>
      </c>
      <c r="J63" s="3" t="s">
        <v>13</v>
      </c>
      <c r="K63" s="3" t="s">
        <v>13</v>
      </c>
      <c r="L63" s="3" t="s">
        <v>312</v>
      </c>
      <c r="M63" s="3" t="s">
        <v>313</v>
      </c>
    </row>
    <row r="64" spans="2:19" x14ac:dyDescent="0.2">
      <c r="B64" s="2">
        <v>43054.345514618057</v>
      </c>
      <c r="C64" s="2" t="s">
        <v>651</v>
      </c>
      <c r="D64" s="3" t="s">
        <v>314</v>
      </c>
      <c r="E64" s="3">
        <v>2002</v>
      </c>
      <c r="F64" s="3" t="s">
        <v>315</v>
      </c>
      <c r="G64" s="3" t="s">
        <v>13</v>
      </c>
      <c r="H64" s="3">
        <v>1</v>
      </c>
      <c r="I64" s="3" t="s">
        <v>15</v>
      </c>
      <c r="J64" s="3" t="s">
        <v>25</v>
      </c>
      <c r="K64" s="3" t="s">
        <v>13</v>
      </c>
      <c r="L64" s="3" t="s">
        <v>316</v>
      </c>
      <c r="M64" s="3" t="s">
        <v>59</v>
      </c>
    </row>
    <row r="65" spans="2:19" x14ac:dyDescent="0.2">
      <c r="B65" s="2">
        <v>43054.409396365736</v>
      </c>
      <c r="C65" s="2" t="s">
        <v>651</v>
      </c>
      <c r="D65" s="3" t="s">
        <v>317</v>
      </c>
      <c r="E65" s="3">
        <v>1962</v>
      </c>
      <c r="F65" s="3" t="s">
        <v>318</v>
      </c>
      <c r="G65" s="3" t="s">
        <v>13</v>
      </c>
      <c r="H65" s="3">
        <v>2</v>
      </c>
      <c r="I65" s="3" t="s">
        <v>20</v>
      </c>
      <c r="J65" s="3" t="s">
        <v>13</v>
      </c>
      <c r="K65" s="3" t="s">
        <v>13</v>
      </c>
      <c r="L65" s="3" t="s">
        <v>319</v>
      </c>
      <c r="M65" s="3" t="s">
        <v>320</v>
      </c>
    </row>
    <row r="66" spans="2:19" x14ac:dyDescent="0.2">
      <c r="B66" s="2">
        <v>43054.666877418982</v>
      </c>
      <c r="C66" s="2" t="s">
        <v>651</v>
      </c>
      <c r="D66" s="3" t="s">
        <v>321</v>
      </c>
      <c r="E66" s="3">
        <v>1988</v>
      </c>
      <c r="F66" s="3" t="s">
        <v>322</v>
      </c>
      <c r="G66" s="3" t="s">
        <v>13</v>
      </c>
      <c r="H66" s="3" t="s">
        <v>323</v>
      </c>
      <c r="I66" s="3" t="s">
        <v>15</v>
      </c>
      <c r="J66" s="3" t="s">
        <v>13</v>
      </c>
      <c r="K66" s="3" t="s">
        <v>13</v>
      </c>
      <c r="L66" s="3" t="s">
        <v>324</v>
      </c>
      <c r="M66" s="3" t="s">
        <v>59</v>
      </c>
    </row>
    <row r="67" spans="2:19" x14ac:dyDescent="0.2">
      <c r="B67" s="2">
        <v>43054.8170359375</v>
      </c>
      <c r="C67" s="2" t="s">
        <v>651</v>
      </c>
      <c r="D67" s="3" t="s">
        <v>325</v>
      </c>
      <c r="E67" s="3">
        <v>1964</v>
      </c>
      <c r="F67" s="3">
        <v>919840113782</v>
      </c>
      <c r="G67" s="3" t="s">
        <v>13</v>
      </c>
      <c r="H67" s="3">
        <v>3</v>
      </c>
      <c r="I67" s="3" t="s">
        <v>35</v>
      </c>
      <c r="J67" s="3" t="s">
        <v>13</v>
      </c>
      <c r="K67" s="3" t="s">
        <v>13</v>
      </c>
      <c r="L67" s="3" t="s">
        <v>326</v>
      </c>
      <c r="M67" s="3" t="s">
        <v>59</v>
      </c>
    </row>
    <row r="68" spans="2:19" x14ac:dyDescent="0.2">
      <c r="B68" s="2">
        <v>43055.527546145837</v>
      </c>
      <c r="C68" s="2" t="s">
        <v>651</v>
      </c>
      <c r="D68" s="3" t="s">
        <v>327</v>
      </c>
      <c r="E68" s="3">
        <v>1966</v>
      </c>
      <c r="F68" s="3" t="s">
        <v>328</v>
      </c>
      <c r="G68" s="3" t="s">
        <v>13</v>
      </c>
      <c r="H68" s="3" t="s">
        <v>101</v>
      </c>
      <c r="I68" s="3" t="s">
        <v>41</v>
      </c>
      <c r="J68" s="3" t="s">
        <v>25</v>
      </c>
      <c r="K68" s="3" t="s">
        <v>25</v>
      </c>
      <c r="L68" s="3" t="s">
        <v>329</v>
      </c>
      <c r="M68" s="3" t="s">
        <v>17</v>
      </c>
      <c r="N68" s="3" t="s">
        <v>13</v>
      </c>
      <c r="O68">
        <v>1</v>
      </c>
      <c r="Q68" s="3" t="s">
        <v>724</v>
      </c>
      <c r="R68">
        <v>200</v>
      </c>
      <c r="S68">
        <v>100</v>
      </c>
    </row>
    <row r="69" spans="2:19" x14ac:dyDescent="0.2">
      <c r="B69" s="2">
        <v>43055.773026932875</v>
      </c>
      <c r="C69" s="2" t="s">
        <v>651</v>
      </c>
      <c r="D69" s="3" t="s">
        <v>330</v>
      </c>
      <c r="E69" s="3">
        <v>1982</v>
      </c>
      <c r="F69" s="3" t="s">
        <v>331</v>
      </c>
      <c r="G69" s="3" t="s">
        <v>13</v>
      </c>
      <c r="H69" s="3" t="s">
        <v>101</v>
      </c>
      <c r="I69" s="3" t="s">
        <v>141</v>
      </c>
      <c r="J69" s="3" t="s">
        <v>25</v>
      </c>
      <c r="K69" s="3" t="s">
        <v>25</v>
      </c>
      <c r="L69" s="3" t="s">
        <v>332</v>
      </c>
      <c r="M69" s="3" t="s">
        <v>17</v>
      </c>
    </row>
    <row r="70" spans="2:19" x14ac:dyDescent="0.2">
      <c r="B70" s="2">
        <v>43055.802225983796</v>
      </c>
      <c r="C70" s="2" t="s">
        <v>651</v>
      </c>
      <c r="D70" s="3" t="s">
        <v>333</v>
      </c>
      <c r="E70" s="3">
        <v>1980</v>
      </c>
      <c r="F70" s="3" t="s">
        <v>334</v>
      </c>
      <c r="G70" s="3" t="s">
        <v>13</v>
      </c>
      <c r="H70" s="3" t="s">
        <v>250</v>
      </c>
      <c r="I70" s="3" t="s">
        <v>41</v>
      </c>
      <c r="J70" s="3" t="s">
        <v>13</v>
      </c>
      <c r="K70" s="3" t="s">
        <v>13</v>
      </c>
      <c r="L70" s="3" t="s">
        <v>335</v>
      </c>
      <c r="M70" s="3" t="s">
        <v>146</v>
      </c>
    </row>
    <row r="71" spans="2:19" x14ac:dyDescent="0.2">
      <c r="B71" s="2">
        <v>43055.808690243051</v>
      </c>
      <c r="C71" s="2" t="s">
        <v>651</v>
      </c>
      <c r="D71" s="3" t="s">
        <v>336</v>
      </c>
      <c r="E71" s="3">
        <v>1988</v>
      </c>
      <c r="F71" s="3" t="s">
        <v>331</v>
      </c>
      <c r="G71" s="3" t="s">
        <v>13</v>
      </c>
      <c r="H71" s="3" t="s">
        <v>30</v>
      </c>
      <c r="I71" s="3" t="s">
        <v>141</v>
      </c>
      <c r="J71" s="3" t="s">
        <v>13</v>
      </c>
      <c r="K71" s="3" t="s">
        <v>13</v>
      </c>
      <c r="L71" s="3" t="s">
        <v>337</v>
      </c>
      <c r="M71" s="3" t="s">
        <v>338</v>
      </c>
    </row>
    <row r="72" spans="2:19" x14ac:dyDescent="0.2">
      <c r="B72" s="2">
        <v>43056.458616597221</v>
      </c>
      <c r="C72" s="2" t="s">
        <v>651</v>
      </c>
      <c r="D72" s="3" t="s">
        <v>343</v>
      </c>
      <c r="E72" s="3">
        <v>1966</v>
      </c>
      <c r="F72" s="3" t="s">
        <v>344</v>
      </c>
      <c r="G72" s="3" t="s">
        <v>13</v>
      </c>
      <c r="H72" s="3" t="s">
        <v>101</v>
      </c>
      <c r="I72" s="3" t="s">
        <v>41</v>
      </c>
      <c r="J72" s="3" t="s">
        <v>25</v>
      </c>
      <c r="K72" s="3" t="s">
        <v>25</v>
      </c>
      <c r="L72" s="3" t="s">
        <v>345</v>
      </c>
      <c r="M72" s="3" t="s">
        <v>193</v>
      </c>
      <c r="N72" s="3" t="s">
        <v>13</v>
      </c>
      <c r="O72">
        <v>1</v>
      </c>
      <c r="R72">
        <v>200</v>
      </c>
      <c r="S72">
        <v>100</v>
      </c>
    </row>
    <row r="73" spans="2:19" x14ac:dyDescent="0.2">
      <c r="B73" s="2">
        <v>43057.670314872681</v>
      </c>
      <c r="C73" s="2" t="s">
        <v>651</v>
      </c>
      <c r="D73" s="3" t="s">
        <v>355</v>
      </c>
      <c r="E73" s="3">
        <v>1986</v>
      </c>
      <c r="F73" s="3" t="s">
        <v>356</v>
      </c>
      <c r="G73" s="3" t="s">
        <v>13</v>
      </c>
      <c r="H73" s="3">
        <v>1</v>
      </c>
      <c r="I73" s="3" t="s">
        <v>35</v>
      </c>
      <c r="J73" s="3" t="s">
        <v>25</v>
      </c>
      <c r="K73" s="3" t="s">
        <v>13</v>
      </c>
      <c r="L73" s="3" t="s">
        <v>357</v>
      </c>
      <c r="M73" s="3" t="s">
        <v>59</v>
      </c>
    </row>
    <row r="74" spans="2:19" x14ac:dyDescent="0.2">
      <c r="B74" s="2">
        <v>43058.759150381942</v>
      </c>
      <c r="C74" s="2" t="s">
        <v>651</v>
      </c>
      <c r="D74" s="3" t="s">
        <v>358</v>
      </c>
      <c r="E74" s="3">
        <v>1990</v>
      </c>
      <c r="F74" s="3" t="s">
        <v>359</v>
      </c>
      <c r="G74" s="3" t="s">
        <v>13</v>
      </c>
      <c r="H74" s="3">
        <v>1</v>
      </c>
      <c r="I74" s="3" t="s">
        <v>15</v>
      </c>
      <c r="J74" s="3" t="s">
        <v>13</v>
      </c>
      <c r="K74" s="3" t="s">
        <v>25</v>
      </c>
      <c r="L74" s="3" t="s">
        <v>360</v>
      </c>
      <c r="M74" s="3" t="s">
        <v>84</v>
      </c>
      <c r="N74" s="3" t="s">
        <v>25</v>
      </c>
      <c r="O74">
        <v>1</v>
      </c>
    </row>
    <row r="75" spans="2:19" x14ac:dyDescent="0.2">
      <c r="B75" s="2">
        <v>43058.761493819446</v>
      </c>
      <c r="C75" s="2" t="s">
        <v>651</v>
      </c>
      <c r="D75" s="3" t="s">
        <v>361</v>
      </c>
      <c r="E75" s="3">
        <v>1990</v>
      </c>
      <c r="F75" s="3" t="s">
        <v>362</v>
      </c>
      <c r="G75" s="3" t="s">
        <v>13</v>
      </c>
      <c r="H75" s="3">
        <v>1</v>
      </c>
      <c r="I75" s="3" t="s">
        <v>363</v>
      </c>
      <c r="J75" s="3" t="s">
        <v>13</v>
      </c>
      <c r="K75" s="3" t="s">
        <v>25</v>
      </c>
      <c r="L75" s="3" t="s">
        <v>364</v>
      </c>
      <c r="M75" s="3" t="s">
        <v>59</v>
      </c>
      <c r="N75" s="3" t="s">
        <v>25</v>
      </c>
      <c r="O75">
        <v>1</v>
      </c>
    </row>
    <row r="76" spans="2:19" x14ac:dyDescent="0.2">
      <c r="B76" s="2">
        <v>43059.018535648152</v>
      </c>
      <c r="C76" s="2" t="s">
        <v>651</v>
      </c>
      <c r="D76" s="3" t="s">
        <v>365</v>
      </c>
      <c r="E76" s="3">
        <v>1980</v>
      </c>
      <c r="F76" s="3" t="s">
        <v>366</v>
      </c>
      <c r="G76" s="3" t="s">
        <v>13</v>
      </c>
      <c r="H76" s="3" t="s">
        <v>25</v>
      </c>
      <c r="I76" s="3" t="s">
        <v>153</v>
      </c>
      <c r="J76" s="3" t="s">
        <v>13</v>
      </c>
      <c r="K76" s="3" t="s">
        <v>13</v>
      </c>
      <c r="L76" s="3" t="s">
        <v>367</v>
      </c>
      <c r="M76" s="3" t="s">
        <v>368</v>
      </c>
    </row>
    <row r="77" spans="2:19" x14ac:dyDescent="0.2">
      <c r="B77" s="2">
        <v>43059.435959236114</v>
      </c>
      <c r="C77" s="2" t="s">
        <v>651</v>
      </c>
      <c r="D77" s="3" t="s">
        <v>369</v>
      </c>
      <c r="E77" s="3">
        <v>1972</v>
      </c>
      <c r="F77" s="3" t="s">
        <v>370</v>
      </c>
      <c r="G77" s="3" t="s">
        <v>13</v>
      </c>
      <c r="H77" s="3">
        <v>1</v>
      </c>
      <c r="I77" s="3" t="s">
        <v>371</v>
      </c>
      <c r="J77" s="3" t="s">
        <v>13</v>
      </c>
      <c r="K77" s="3" t="s">
        <v>13</v>
      </c>
      <c r="L77" s="3" t="s">
        <v>372</v>
      </c>
      <c r="M77" s="3" t="s">
        <v>320</v>
      </c>
    </row>
    <row r="78" spans="2:19" x14ac:dyDescent="0.2">
      <c r="B78" s="2">
        <v>43059.791392546293</v>
      </c>
      <c r="C78" s="2" t="s">
        <v>651</v>
      </c>
      <c r="D78" s="3" t="s">
        <v>373</v>
      </c>
      <c r="E78" s="3">
        <v>1996</v>
      </c>
      <c r="F78" s="3" t="s">
        <v>374</v>
      </c>
      <c r="G78" s="3" t="s">
        <v>13</v>
      </c>
      <c r="H78" s="3" t="s">
        <v>375</v>
      </c>
      <c r="I78" s="3" t="s">
        <v>376</v>
      </c>
      <c r="J78" s="3" t="s">
        <v>25</v>
      </c>
      <c r="K78" s="3" t="s">
        <v>25</v>
      </c>
      <c r="L78" s="3" t="s">
        <v>377</v>
      </c>
      <c r="M78" s="3" t="s">
        <v>89</v>
      </c>
    </row>
    <row r="79" spans="2:19" x14ac:dyDescent="0.2">
      <c r="B79" s="2">
        <v>43060.297700960647</v>
      </c>
      <c r="C79" s="2" t="s">
        <v>651</v>
      </c>
      <c r="D79" s="3" t="s">
        <v>378</v>
      </c>
      <c r="E79" s="3">
        <v>1965</v>
      </c>
      <c r="F79" s="3" t="s">
        <v>379</v>
      </c>
      <c r="G79" s="3" t="s">
        <v>13</v>
      </c>
      <c r="H79" s="3">
        <v>3</v>
      </c>
      <c r="I79" s="3" t="s">
        <v>380</v>
      </c>
      <c r="J79" s="3" t="s">
        <v>25</v>
      </c>
      <c r="K79" s="3" t="s">
        <v>13</v>
      </c>
      <c r="L79" s="3" t="s">
        <v>381</v>
      </c>
      <c r="M79" s="3" t="s">
        <v>17</v>
      </c>
    </row>
    <row r="80" spans="2:19" x14ac:dyDescent="0.2">
      <c r="B80" s="2">
        <v>43060.319249490742</v>
      </c>
      <c r="C80" s="2" t="s">
        <v>651</v>
      </c>
      <c r="D80" s="3" t="s">
        <v>382</v>
      </c>
      <c r="E80" s="3">
        <v>1977</v>
      </c>
      <c r="F80" s="3" t="s">
        <v>383</v>
      </c>
      <c r="G80" s="3" t="s">
        <v>13</v>
      </c>
      <c r="H80" s="3" t="s">
        <v>384</v>
      </c>
      <c r="I80" s="3" t="s">
        <v>385</v>
      </c>
      <c r="J80" s="3" t="s">
        <v>13</v>
      </c>
      <c r="K80" s="3" t="s">
        <v>13</v>
      </c>
      <c r="L80" s="3" t="s">
        <v>386</v>
      </c>
      <c r="M80" s="3" t="s">
        <v>226</v>
      </c>
    </row>
    <row r="81" spans="2:19" x14ac:dyDescent="0.2">
      <c r="B81" s="2">
        <v>43060.31993125</v>
      </c>
      <c r="C81" s="2" t="s">
        <v>651</v>
      </c>
      <c r="D81" s="3" t="s">
        <v>387</v>
      </c>
      <c r="E81" s="3">
        <v>1966</v>
      </c>
      <c r="F81" s="3" t="s">
        <v>388</v>
      </c>
      <c r="G81" s="3" t="s">
        <v>13</v>
      </c>
      <c r="H81" s="3" t="s">
        <v>101</v>
      </c>
      <c r="I81" s="3" t="s">
        <v>20</v>
      </c>
      <c r="J81" s="3" t="s">
        <v>13</v>
      </c>
      <c r="K81" s="3" t="s">
        <v>25</v>
      </c>
      <c r="L81" s="3" t="s">
        <v>389</v>
      </c>
      <c r="M81" s="3" t="s">
        <v>390</v>
      </c>
    </row>
    <row r="82" spans="2:19" x14ac:dyDescent="0.2">
      <c r="B82" s="2">
        <v>43060.320962673606</v>
      </c>
      <c r="C82" s="2" t="s">
        <v>651</v>
      </c>
      <c r="D82" s="3" t="s">
        <v>391</v>
      </c>
      <c r="E82" s="3">
        <v>1983</v>
      </c>
      <c r="F82" s="3" t="s">
        <v>392</v>
      </c>
      <c r="G82" s="3" t="s">
        <v>13</v>
      </c>
      <c r="H82" s="3" t="s">
        <v>250</v>
      </c>
      <c r="I82" s="3" t="s">
        <v>35</v>
      </c>
      <c r="J82" s="3" t="s">
        <v>13</v>
      </c>
      <c r="K82" s="3" t="s">
        <v>13</v>
      </c>
      <c r="L82" s="3" t="s">
        <v>393</v>
      </c>
      <c r="M82" s="3" t="s">
        <v>226</v>
      </c>
    </row>
    <row r="83" spans="2:19" x14ac:dyDescent="0.2">
      <c r="B83" s="2">
        <v>43060.323117407403</v>
      </c>
      <c r="C83" s="2" t="s">
        <v>651</v>
      </c>
      <c r="D83" s="3" t="s">
        <v>394</v>
      </c>
      <c r="E83" s="3">
        <v>1988</v>
      </c>
      <c r="F83" s="3" t="s">
        <v>395</v>
      </c>
      <c r="G83" s="3" t="s">
        <v>13</v>
      </c>
      <c r="H83" s="3" t="s">
        <v>250</v>
      </c>
      <c r="I83" s="3" t="s">
        <v>396</v>
      </c>
      <c r="J83" s="3" t="s">
        <v>13</v>
      </c>
      <c r="K83" s="3" t="s">
        <v>13</v>
      </c>
      <c r="L83" s="3" t="s">
        <v>393</v>
      </c>
      <c r="M83" s="3" t="s">
        <v>226</v>
      </c>
    </row>
    <row r="84" spans="2:19" x14ac:dyDescent="0.2">
      <c r="B84" s="2">
        <v>43060.33114318287</v>
      </c>
      <c r="C84" s="2" t="s">
        <v>651</v>
      </c>
      <c r="D84" s="3" t="s">
        <v>397</v>
      </c>
      <c r="E84" s="3">
        <v>1987</v>
      </c>
      <c r="F84" s="3" t="s">
        <v>398</v>
      </c>
      <c r="G84" s="3" t="s">
        <v>13</v>
      </c>
      <c r="H84" s="3" t="s">
        <v>101</v>
      </c>
      <c r="I84" s="3" t="s">
        <v>35</v>
      </c>
      <c r="J84" s="3" t="s">
        <v>25</v>
      </c>
      <c r="K84" s="3" t="s">
        <v>13</v>
      </c>
      <c r="L84" s="3" t="s">
        <v>399</v>
      </c>
      <c r="M84" s="3" t="s">
        <v>400</v>
      </c>
    </row>
    <row r="85" spans="2:19" x14ac:dyDescent="0.2">
      <c r="B85" s="2">
        <v>43060.361138113425</v>
      </c>
      <c r="C85" s="2" t="s">
        <v>651</v>
      </c>
      <c r="D85" s="3" t="s">
        <v>401</v>
      </c>
      <c r="E85" s="3">
        <v>1999</v>
      </c>
      <c r="F85" s="3" t="s">
        <v>402</v>
      </c>
      <c r="G85" s="3" t="s">
        <v>13</v>
      </c>
      <c r="H85" s="3" t="s">
        <v>403</v>
      </c>
      <c r="I85" s="3" t="s">
        <v>35</v>
      </c>
      <c r="J85" s="3" t="s">
        <v>13</v>
      </c>
      <c r="K85" s="3" t="s">
        <v>25</v>
      </c>
      <c r="L85" s="3" t="s">
        <v>404</v>
      </c>
      <c r="M85" s="3" t="s">
        <v>17</v>
      </c>
    </row>
    <row r="86" spans="2:19" x14ac:dyDescent="0.2">
      <c r="B86" s="2">
        <v>43060.367524479167</v>
      </c>
      <c r="C86" s="2" t="s">
        <v>651</v>
      </c>
      <c r="D86" s="3" t="s">
        <v>405</v>
      </c>
      <c r="E86" s="3">
        <v>1992</v>
      </c>
      <c r="F86" s="3" t="s">
        <v>406</v>
      </c>
      <c r="G86" s="3" t="s">
        <v>13</v>
      </c>
      <c r="H86" s="3" t="s">
        <v>101</v>
      </c>
      <c r="I86" s="3" t="s">
        <v>35</v>
      </c>
      <c r="J86" s="3" t="s">
        <v>13</v>
      </c>
      <c r="K86" s="3" t="s">
        <v>25</v>
      </c>
      <c r="L86" s="3" t="s">
        <v>407</v>
      </c>
      <c r="M86" s="3" t="s">
        <v>310</v>
      </c>
      <c r="N86" s="3" t="s">
        <v>13</v>
      </c>
      <c r="O86">
        <v>1</v>
      </c>
      <c r="Q86" s="3" t="s">
        <v>697</v>
      </c>
      <c r="R86">
        <v>200</v>
      </c>
      <c r="S86">
        <v>100</v>
      </c>
    </row>
    <row r="87" spans="2:19" x14ac:dyDescent="0.2">
      <c r="B87" s="2">
        <v>43060.371461527779</v>
      </c>
      <c r="C87" s="2" t="s">
        <v>651</v>
      </c>
      <c r="D87" s="3" t="s">
        <v>408</v>
      </c>
      <c r="E87" s="3">
        <v>1999</v>
      </c>
      <c r="F87" s="3" t="s">
        <v>409</v>
      </c>
      <c r="G87" s="3" t="s">
        <v>13</v>
      </c>
      <c r="H87" s="3">
        <v>2</v>
      </c>
      <c r="I87" s="3" t="s">
        <v>41</v>
      </c>
      <c r="J87" s="3" t="s">
        <v>25</v>
      </c>
      <c r="K87" s="3" t="s">
        <v>25</v>
      </c>
      <c r="L87" s="3" t="s">
        <v>410</v>
      </c>
      <c r="M87" s="3" t="s">
        <v>17</v>
      </c>
    </row>
    <row r="88" spans="2:19" x14ac:dyDescent="0.2">
      <c r="B88" s="2">
        <v>43060.391536932875</v>
      </c>
      <c r="C88" s="2" t="s">
        <v>651</v>
      </c>
      <c r="D88" s="3" t="s">
        <v>411</v>
      </c>
      <c r="E88" s="3">
        <v>1991</v>
      </c>
      <c r="F88" s="3" t="s">
        <v>412</v>
      </c>
      <c r="G88" s="3" t="s">
        <v>13</v>
      </c>
      <c r="H88" s="3">
        <v>1</v>
      </c>
      <c r="I88" s="3" t="s">
        <v>41</v>
      </c>
      <c r="J88" s="3" t="s">
        <v>13</v>
      </c>
      <c r="K88" s="3" t="s">
        <v>13</v>
      </c>
      <c r="L88" s="3" t="s">
        <v>413</v>
      </c>
      <c r="M88" s="3" t="s">
        <v>414</v>
      </c>
    </row>
    <row r="89" spans="2:19" x14ac:dyDescent="0.2">
      <c r="B89" s="2">
        <v>43060.405688437502</v>
      </c>
      <c r="C89" s="2" t="s">
        <v>651</v>
      </c>
      <c r="D89" s="3" t="s">
        <v>417</v>
      </c>
      <c r="E89" s="3">
        <v>1996</v>
      </c>
      <c r="F89" s="3" t="s">
        <v>418</v>
      </c>
      <c r="G89" s="3" t="s">
        <v>13</v>
      </c>
      <c r="H89" s="3" t="s">
        <v>419</v>
      </c>
      <c r="I89" s="3" t="s">
        <v>35</v>
      </c>
      <c r="J89" s="3" t="s">
        <v>25</v>
      </c>
      <c r="K89" s="3" t="s">
        <v>13</v>
      </c>
      <c r="L89" s="3" t="s">
        <v>420</v>
      </c>
      <c r="M89" s="3" t="s">
        <v>17</v>
      </c>
    </row>
    <row r="90" spans="2:19" x14ac:dyDescent="0.2">
      <c r="B90" s="2">
        <v>43060.410266273146</v>
      </c>
      <c r="C90" s="2" t="s">
        <v>651</v>
      </c>
      <c r="D90" s="3" t="s">
        <v>421</v>
      </c>
      <c r="E90" s="3">
        <v>1985</v>
      </c>
      <c r="F90" s="3" t="s">
        <v>422</v>
      </c>
      <c r="G90" s="3" t="s">
        <v>13</v>
      </c>
      <c r="H90" s="3" t="s">
        <v>423</v>
      </c>
      <c r="I90" s="3" t="s">
        <v>41</v>
      </c>
      <c r="J90" s="3" t="s">
        <v>13</v>
      </c>
      <c r="K90" s="3" t="s">
        <v>25</v>
      </c>
      <c r="L90" s="3" t="s">
        <v>424</v>
      </c>
      <c r="M90" s="3" t="s">
        <v>146</v>
      </c>
    </row>
    <row r="91" spans="2:19" x14ac:dyDescent="0.2">
      <c r="B91" s="2">
        <v>43060.414304618054</v>
      </c>
      <c r="C91" s="2" t="s">
        <v>651</v>
      </c>
      <c r="D91" s="3" t="s">
        <v>206</v>
      </c>
      <c r="E91" s="3">
        <v>1981</v>
      </c>
      <c r="F91" s="3" t="s">
        <v>207</v>
      </c>
      <c r="G91" s="3" t="s">
        <v>13</v>
      </c>
      <c r="H91" s="3" t="s">
        <v>101</v>
      </c>
      <c r="I91" s="3" t="s">
        <v>41</v>
      </c>
      <c r="J91" s="3" t="s">
        <v>13</v>
      </c>
      <c r="K91" s="3" t="s">
        <v>13</v>
      </c>
      <c r="L91" s="3" t="s">
        <v>208</v>
      </c>
      <c r="M91" s="3" t="s">
        <v>209</v>
      </c>
    </row>
    <row r="92" spans="2:19" x14ac:dyDescent="0.2">
      <c r="B92" s="2">
        <v>43060.429350474536</v>
      </c>
      <c r="C92" s="2" t="s">
        <v>651</v>
      </c>
      <c r="D92" s="3" t="s">
        <v>425</v>
      </c>
      <c r="E92" s="3">
        <v>1988</v>
      </c>
      <c r="F92" s="3" t="s">
        <v>426</v>
      </c>
      <c r="G92" s="3" t="s">
        <v>13</v>
      </c>
      <c r="H92" s="3" t="s">
        <v>427</v>
      </c>
      <c r="I92" s="3" t="s">
        <v>141</v>
      </c>
      <c r="J92" s="3" t="s">
        <v>13</v>
      </c>
      <c r="K92" s="3" t="s">
        <v>13</v>
      </c>
      <c r="L92" s="3" t="s">
        <v>428</v>
      </c>
      <c r="M92" s="3" t="s">
        <v>59</v>
      </c>
    </row>
    <row r="93" spans="2:19" x14ac:dyDescent="0.2">
      <c r="B93" s="2">
        <v>43060.435696631946</v>
      </c>
      <c r="C93" s="2" t="s">
        <v>651</v>
      </c>
      <c r="D93" s="3" t="s">
        <v>429</v>
      </c>
      <c r="E93" s="3">
        <v>1973</v>
      </c>
      <c r="F93" s="3" t="s">
        <v>430</v>
      </c>
      <c r="G93" s="3" t="s">
        <v>13</v>
      </c>
      <c r="H93" s="3">
        <v>1</v>
      </c>
      <c r="I93" s="3" t="s">
        <v>41</v>
      </c>
      <c r="J93" s="3" t="s">
        <v>25</v>
      </c>
      <c r="K93" s="3" t="s">
        <v>25</v>
      </c>
      <c r="L93" s="3" t="s">
        <v>431</v>
      </c>
      <c r="M93" s="3" t="s">
        <v>17</v>
      </c>
      <c r="N93" s="3" t="s">
        <v>13</v>
      </c>
      <c r="O93">
        <v>1</v>
      </c>
      <c r="R93">
        <v>200</v>
      </c>
      <c r="S93">
        <v>100</v>
      </c>
    </row>
    <row r="94" spans="2:19" x14ac:dyDescent="0.2">
      <c r="B94" s="2">
        <v>43060.438303680552</v>
      </c>
      <c r="C94" s="2" t="s">
        <v>651</v>
      </c>
      <c r="D94" s="3" t="s">
        <v>432</v>
      </c>
      <c r="E94" s="3">
        <v>1980</v>
      </c>
      <c r="F94" s="3" t="s">
        <v>433</v>
      </c>
      <c r="G94" s="3" t="s">
        <v>13</v>
      </c>
      <c r="H94" s="3">
        <v>1</v>
      </c>
      <c r="I94" s="3" t="s">
        <v>41</v>
      </c>
      <c r="J94" s="3" t="s">
        <v>13</v>
      </c>
      <c r="K94" s="3" t="s">
        <v>25</v>
      </c>
      <c r="L94" s="3" t="s">
        <v>434</v>
      </c>
      <c r="M94" s="3" t="s">
        <v>176</v>
      </c>
      <c r="N94" s="3" t="s">
        <v>13</v>
      </c>
      <c r="O94">
        <v>1</v>
      </c>
      <c r="R94">
        <v>200</v>
      </c>
      <c r="S94">
        <v>100</v>
      </c>
    </row>
    <row r="95" spans="2:19" x14ac:dyDescent="0.2">
      <c r="B95" s="2">
        <v>43060.444800104167</v>
      </c>
      <c r="C95" s="2" t="s">
        <v>651</v>
      </c>
      <c r="D95" s="3" t="s">
        <v>283</v>
      </c>
      <c r="E95" s="3">
        <v>1991</v>
      </c>
      <c r="F95" s="3" t="s">
        <v>435</v>
      </c>
      <c r="G95" s="3" t="s">
        <v>13</v>
      </c>
      <c r="H95" s="3">
        <v>1</v>
      </c>
      <c r="I95" s="3" t="s">
        <v>35</v>
      </c>
      <c r="J95" s="3" t="s">
        <v>13</v>
      </c>
      <c r="K95" s="3" t="s">
        <v>25</v>
      </c>
      <c r="L95" s="3" t="s">
        <v>285</v>
      </c>
      <c r="M95" s="3" t="s">
        <v>286</v>
      </c>
      <c r="N95" s="3" t="s">
        <v>13</v>
      </c>
      <c r="O95">
        <v>2</v>
      </c>
      <c r="R95">
        <v>400</v>
      </c>
      <c r="S95">
        <v>200</v>
      </c>
    </row>
    <row r="96" spans="2:19" x14ac:dyDescent="0.2">
      <c r="B96" s="2">
        <v>43060.464688043983</v>
      </c>
      <c r="C96" s="2" t="s">
        <v>651</v>
      </c>
      <c r="D96" s="3" t="s">
        <v>436</v>
      </c>
      <c r="E96" s="3">
        <v>1988</v>
      </c>
      <c r="F96" s="3" t="s">
        <v>437</v>
      </c>
      <c r="G96" s="3" t="s">
        <v>13</v>
      </c>
      <c r="H96" s="3">
        <v>2</v>
      </c>
      <c r="I96" s="3" t="s">
        <v>438</v>
      </c>
      <c r="J96" s="3" t="s">
        <v>25</v>
      </c>
      <c r="K96" s="3" t="s">
        <v>13</v>
      </c>
      <c r="L96" s="3" t="s">
        <v>439</v>
      </c>
      <c r="M96" s="3" t="s">
        <v>84</v>
      </c>
    </row>
    <row r="97" spans="2:19" x14ac:dyDescent="0.2">
      <c r="B97" s="2">
        <v>43060.517372407412</v>
      </c>
      <c r="C97" s="2" t="s">
        <v>651</v>
      </c>
      <c r="D97" s="3" t="s">
        <v>440</v>
      </c>
      <c r="E97" s="3">
        <v>1988</v>
      </c>
      <c r="F97" s="3" t="s">
        <v>441</v>
      </c>
      <c r="G97" s="3" t="s">
        <v>13</v>
      </c>
      <c r="H97" s="3" t="s">
        <v>442</v>
      </c>
      <c r="I97" s="3" t="s">
        <v>41</v>
      </c>
      <c r="J97" s="3" t="s">
        <v>13</v>
      </c>
      <c r="K97" s="3" t="s">
        <v>13</v>
      </c>
      <c r="L97" s="3" t="s">
        <v>443</v>
      </c>
      <c r="M97" s="3" t="s">
        <v>176</v>
      </c>
    </row>
    <row r="98" spans="2:19" x14ac:dyDescent="0.2">
      <c r="B98" s="2">
        <v>43060.523082129628</v>
      </c>
      <c r="C98" s="2" t="s">
        <v>651</v>
      </c>
      <c r="D98" s="3" t="s">
        <v>444</v>
      </c>
      <c r="E98" s="3">
        <v>1979</v>
      </c>
      <c r="F98" s="3">
        <v>612423532164</v>
      </c>
      <c r="G98" s="3" t="s">
        <v>13</v>
      </c>
      <c r="H98" s="3" t="s">
        <v>40</v>
      </c>
      <c r="I98" s="3" t="s">
        <v>141</v>
      </c>
      <c r="J98" s="3" t="s">
        <v>13</v>
      </c>
      <c r="K98" s="3" t="s">
        <v>13</v>
      </c>
      <c r="L98" s="3" t="s">
        <v>445</v>
      </c>
      <c r="M98" s="3" t="s">
        <v>446</v>
      </c>
      <c r="N98" s="3" t="s">
        <v>13</v>
      </c>
      <c r="O98">
        <v>1</v>
      </c>
      <c r="Q98" s="7">
        <v>42836</v>
      </c>
      <c r="R98">
        <v>200</v>
      </c>
      <c r="S98">
        <v>100</v>
      </c>
    </row>
    <row r="99" spans="2:19" x14ac:dyDescent="0.2">
      <c r="B99" s="2">
        <v>43060.539479837964</v>
      </c>
      <c r="C99" s="2" t="s">
        <v>651</v>
      </c>
      <c r="D99" s="3" t="s">
        <v>447</v>
      </c>
      <c r="E99" s="3">
        <v>1978</v>
      </c>
      <c r="F99" s="3">
        <v>919840044411</v>
      </c>
      <c r="G99" s="3" t="s">
        <v>13</v>
      </c>
      <c r="H99" s="3" t="s">
        <v>448</v>
      </c>
      <c r="I99" s="3" t="s">
        <v>449</v>
      </c>
      <c r="J99" s="3" t="s">
        <v>13</v>
      </c>
      <c r="K99" s="3" t="s">
        <v>13</v>
      </c>
      <c r="L99" s="3" t="s">
        <v>450</v>
      </c>
      <c r="M99" s="3" t="s">
        <v>451</v>
      </c>
    </row>
    <row r="100" spans="2:19" x14ac:dyDescent="0.2">
      <c r="B100" s="2">
        <v>43060.583295937497</v>
      </c>
      <c r="C100" s="2" t="s">
        <v>651</v>
      </c>
      <c r="D100" s="3" t="s">
        <v>456</v>
      </c>
      <c r="E100" s="3">
        <v>1979</v>
      </c>
      <c r="F100" s="3" t="s">
        <v>457</v>
      </c>
      <c r="G100" s="3" t="s">
        <v>13</v>
      </c>
      <c r="H100" s="3">
        <v>2</v>
      </c>
      <c r="I100" s="3" t="s">
        <v>15</v>
      </c>
      <c r="J100" s="3" t="s">
        <v>25</v>
      </c>
      <c r="K100" s="3" t="s">
        <v>13</v>
      </c>
      <c r="L100" s="3" t="s">
        <v>458</v>
      </c>
      <c r="M100" s="3" t="s">
        <v>59</v>
      </c>
      <c r="N100" s="3" t="s">
        <v>25</v>
      </c>
      <c r="O100">
        <v>2</v>
      </c>
    </row>
    <row r="101" spans="2:19" x14ac:dyDescent="0.2">
      <c r="B101" s="2">
        <v>43060.585748171296</v>
      </c>
      <c r="C101" s="2" t="s">
        <v>651</v>
      </c>
      <c r="D101" s="3" t="s">
        <v>459</v>
      </c>
      <c r="E101" s="3">
        <v>1971</v>
      </c>
      <c r="F101" s="3" t="s">
        <v>460</v>
      </c>
      <c r="G101" s="3" t="s">
        <v>13</v>
      </c>
      <c r="H101" s="3" t="s">
        <v>461</v>
      </c>
      <c r="I101" s="3" t="s">
        <v>35</v>
      </c>
      <c r="J101" s="3" t="s">
        <v>13</v>
      </c>
      <c r="K101" s="3" t="s">
        <v>25</v>
      </c>
      <c r="L101" s="3" t="s">
        <v>462</v>
      </c>
      <c r="M101" s="3" t="s">
        <v>146</v>
      </c>
    </row>
    <row r="102" spans="2:19" x14ac:dyDescent="0.2">
      <c r="B102" s="2">
        <v>43060.618017696761</v>
      </c>
      <c r="C102" s="2" t="s">
        <v>651</v>
      </c>
      <c r="D102" s="3" t="s">
        <v>463</v>
      </c>
      <c r="E102" s="3">
        <v>1987</v>
      </c>
      <c r="F102" s="3" t="s">
        <v>464</v>
      </c>
      <c r="G102" s="3" t="s">
        <v>13</v>
      </c>
      <c r="H102" s="3" t="s">
        <v>101</v>
      </c>
      <c r="I102" s="3" t="s">
        <v>35</v>
      </c>
      <c r="J102" s="3" t="s">
        <v>25</v>
      </c>
      <c r="K102" s="3" t="s">
        <v>25</v>
      </c>
      <c r="L102" s="3" t="s">
        <v>465</v>
      </c>
      <c r="M102" s="3" t="s">
        <v>59</v>
      </c>
      <c r="N102" s="3" t="s">
        <v>13</v>
      </c>
      <c r="O102">
        <v>1</v>
      </c>
      <c r="R102">
        <v>200</v>
      </c>
      <c r="S102">
        <v>100</v>
      </c>
    </row>
    <row r="103" spans="2:19" x14ac:dyDescent="0.2">
      <c r="B103" s="2">
        <v>43060.621129305553</v>
      </c>
      <c r="C103" s="2" t="s">
        <v>651</v>
      </c>
      <c r="D103" s="3" t="s">
        <v>466</v>
      </c>
      <c r="E103" s="3">
        <v>1975</v>
      </c>
      <c r="F103" s="3" t="s">
        <v>467</v>
      </c>
      <c r="G103" s="3" t="s">
        <v>13</v>
      </c>
      <c r="H103" s="3">
        <v>1</v>
      </c>
      <c r="I103" s="3" t="s">
        <v>15</v>
      </c>
      <c r="J103" s="3" t="s">
        <v>13</v>
      </c>
      <c r="K103" s="3" t="s">
        <v>13</v>
      </c>
      <c r="L103" s="3" t="s">
        <v>468</v>
      </c>
      <c r="M103" s="3" t="s">
        <v>469</v>
      </c>
    </row>
    <row r="104" spans="2:19" x14ac:dyDescent="0.2">
      <c r="B104" s="2">
        <v>43060.630497743055</v>
      </c>
      <c r="C104" s="2" t="s">
        <v>651</v>
      </c>
      <c r="D104" s="3" t="s">
        <v>470</v>
      </c>
      <c r="E104" s="3">
        <v>1979</v>
      </c>
      <c r="F104" s="3" t="s">
        <v>471</v>
      </c>
      <c r="G104" s="3" t="s">
        <v>13</v>
      </c>
      <c r="H104" s="3" t="s">
        <v>101</v>
      </c>
      <c r="I104" s="3" t="s">
        <v>41</v>
      </c>
      <c r="J104" s="3" t="s">
        <v>13</v>
      </c>
      <c r="K104" s="3" t="s">
        <v>25</v>
      </c>
      <c r="L104" s="3" t="s">
        <v>472</v>
      </c>
      <c r="M104" s="3" t="s">
        <v>473</v>
      </c>
      <c r="N104" s="3" t="s">
        <v>25</v>
      </c>
      <c r="O104">
        <v>1</v>
      </c>
    </row>
    <row r="105" spans="2:19" x14ac:dyDescent="0.2">
      <c r="B105" s="2">
        <v>43060.657915162039</v>
      </c>
      <c r="C105" s="2" t="s">
        <v>651</v>
      </c>
      <c r="D105" s="3" t="s">
        <v>474</v>
      </c>
      <c r="E105" s="3">
        <v>1985</v>
      </c>
      <c r="F105" s="3" t="s">
        <v>422</v>
      </c>
      <c r="G105" s="3" t="s">
        <v>13</v>
      </c>
      <c r="H105" s="3" t="s">
        <v>423</v>
      </c>
      <c r="I105" s="3" t="s">
        <v>41</v>
      </c>
      <c r="J105" s="3" t="s">
        <v>13</v>
      </c>
      <c r="K105" s="3" t="s">
        <v>25</v>
      </c>
      <c r="L105" s="3" t="s">
        <v>424</v>
      </c>
      <c r="M105" s="3" t="s">
        <v>146</v>
      </c>
    </row>
    <row r="106" spans="2:19" x14ac:dyDescent="0.2">
      <c r="B106" s="2">
        <v>43060.717228958332</v>
      </c>
      <c r="C106" s="2" t="s">
        <v>651</v>
      </c>
      <c r="D106" s="3" t="s">
        <v>475</v>
      </c>
      <c r="E106" s="3">
        <v>1967</v>
      </c>
      <c r="F106" s="3" t="s">
        <v>476</v>
      </c>
      <c r="G106" s="3" t="s">
        <v>13</v>
      </c>
      <c r="H106" s="3" t="s">
        <v>101</v>
      </c>
      <c r="I106" s="3" t="s">
        <v>41</v>
      </c>
      <c r="J106" s="3" t="s">
        <v>25</v>
      </c>
      <c r="K106" s="3" t="s">
        <v>25</v>
      </c>
      <c r="L106" s="3" t="s">
        <v>477</v>
      </c>
      <c r="M106" s="3" t="s">
        <v>17</v>
      </c>
    </row>
    <row r="107" spans="2:19" x14ac:dyDescent="0.2">
      <c r="B107" s="2">
        <v>43060.843803194446</v>
      </c>
      <c r="C107" s="2" t="s">
        <v>651</v>
      </c>
      <c r="D107" s="3" t="s">
        <v>478</v>
      </c>
      <c r="E107" s="3">
        <v>1988</v>
      </c>
      <c r="F107" s="3" t="s">
        <v>479</v>
      </c>
      <c r="G107" s="3" t="s">
        <v>13</v>
      </c>
      <c r="H107" s="3" t="s">
        <v>250</v>
      </c>
      <c r="I107" s="3" t="s">
        <v>438</v>
      </c>
      <c r="J107" s="3" t="s">
        <v>13</v>
      </c>
      <c r="K107" s="3" t="s">
        <v>13</v>
      </c>
      <c r="L107" s="3" t="s">
        <v>480</v>
      </c>
      <c r="M107" s="3" t="s">
        <v>84</v>
      </c>
    </row>
    <row r="108" spans="2:19" x14ac:dyDescent="0.2">
      <c r="B108" s="2">
        <v>43060.892592997683</v>
      </c>
      <c r="C108" s="2" t="s">
        <v>651</v>
      </c>
      <c r="D108" s="3" t="s">
        <v>305</v>
      </c>
      <c r="E108" s="3">
        <v>1977</v>
      </c>
      <c r="F108" s="3" t="s">
        <v>306</v>
      </c>
      <c r="G108" s="3" t="s">
        <v>13</v>
      </c>
      <c r="H108" s="3" t="s">
        <v>307</v>
      </c>
      <c r="I108" s="3" t="s">
        <v>308</v>
      </c>
      <c r="J108" s="3" t="s">
        <v>13</v>
      </c>
      <c r="K108" s="3" t="s">
        <v>13</v>
      </c>
      <c r="L108" s="3" t="s">
        <v>309</v>
      </c>
      <c r="M108" s="3" t="s">
        <v>481</v>
      </c>
    </row>
    <row r="109" spans="2:19" x14ac:dyDescent="0.2">
      <c r="B109" s="2">
        <v>43060.907426331018</v>
      </c>
      <c r="C109" s="2" t="s">
        <v>651</v>
      </c>
      <c r="D109" s="3" t="s">
        <v>482</v>
      </c>
      <c r="E109" s="3">
        <v>1979</v>
      </c>
      <c r="F109" s="3" t="s">
        <v>483</v>
      </c>
      <c r="G109" s="3" t="s">
        <v>13</v>
      </c>
      <c r="H109" s="3">
        <v>1</v>
      </c>
      <c r="I109" s="3" t="s">
        <v>484</v>
      </c>
      <c r="J109" s="3" t="s">
        <v>13</v>
      </c>
      <c r="K109" s="3" t="s">
        <v>13</v>
      </c>
      <c r="L109" s="3" t="s">
        <v>485</v>
      </c>
      <c r="M109" s="3" t="s">
        <v>486</v>
      </c>
      <c r="N109" s="3" t="s">
        <v>13</v>
      </c>
      <c r="O109">
        <v>1</v>
      </c>
      <c r="Q109" s="3" t="s">
        <v>723</v>
      </c>
      <c r="R109">
        <v>200</v>
      </c>
      <c r="S109">
        <v>100</v>
      </c>
    </row>
    <row r="110" spans="2:19" x14ac:dyDescent="0.2">
      <c r="B110" s="2">
        <v>43060.997279293981</v>
      </c>
      <c r="C110" s="2" t="s">
        <v>651</v>
      </c>
      <c r="D110" s="3" t="s">
        <v>487</v>
      </c>
      <c r="E110" s="3">
        <v>1974</v>
      </c>
      <c r="F110" s="3" t="s">
        <v>488</v>
      </c>
      <c r="G110" s="3" t="s">
        <v>13</v>
      </c>
      <c r="H110" s="3" t="s">
        <v>40</v>
      </c>
      <c r="I110" s="3" t="s">
        <v>41</v>
      </c>
      <c r="J110" s="3" t="s">
        <v>25</v>
      </c>
      <c r="K110" s="3" t="s">
        <v>25</v>
      </c>
      <c r="L110" s="3" t="s">
        <v>489</v>
      </c>
      <c r="M110" s="3" t="s">
        <v>490</v>
      </c>
    </row>
    <row r="111" spans="2:19" x14ac:dyDescent="0.2">
      <c r="B111" s="2">
        <v>43061.088254340277</v>
      </c>
      <c r="C111" s="2" t="s">
        <v>651</v>
      </c>
      <c r="D111" s="3" t="s">
        <v>491</v>
      </c>
      <c r="E111" s="3">
        <v>1979</v>
      </c>
      <c r="F111" s="3" t="s">
        <v>492</v>
      </c>
      <c r="G111" s="3" t="s">
        <v>13</v>
      </c>
      <c r="H111" s="3" t="s">
        <v>493</v>
      </c>
      <c r="I111" s="3" t="s">
        <v>41</v>
      </c>
      <c r="J111" s="3" t="s">
        <v>13</v>
      </c>
      <c r="K111" s="3" t="s">
        <v>13</v>
      </c>
      <c r="L111" s="3" t="s">
        <v>494</v>
      </c>
      <c r="M111" s="3" t="s">
        <v>59</v>
      </c>
      <c r="N111" s="3" t="s">
        <v>13</v>
      </c>
      <c r="O111">
        <v>1</v>
      </c>
      <c r="Q111" s="3" t="s">
        <v>724</v>
      </c>
      <c r="R111">
        <v>200</v>
      </c>
      <c r="S111">
        <v>100</v>
      </c>
    </row>
    <row r="112" spans="2:19" x14ac:dyDescent="0.2">
      <c r="B112" s="2">
        <v>43061.356059317128</v>
      </c>
      <c r="C112" s="2" t="s">
        <v>651</v>
      </c>
      <c r="D112" s="3" t="s">
        <v>127</v>
      </c>
      <c r="E112" s="3">
        <v>1983</v>
      </c>
      <c r="F112" s="3" t="s">
        <v>495</v>
      </c>
      <c r="G112" s="3" t="s">
        <v>13</v>
      </c>
      <c r="H112" s="3">
        <v>0</v>
      </c>
      <c r="I112" s="3" t="s">
        <v>496</v>
      </c>
      <c r="J112" s="3" t="s">
        <v>25</v>
      </c>
      <c r="K112" s="3" t="s">
        <v>25</v>
      </c>
      <c r="L112" s="3" t="s">
        <v>497</v>
      </c>
      <c r="M112" s="3" t="s">
        <v>59</v>
      </c>
      <c r="N112" s="3" t="s">
        <v>13</v>
      </c>
      <c r="O112">
        <v>1</v>
      </c>
      <c r="Q112" s="3" t="s">
        <v>738</v>
      </c>
      <c r="R112">
        <v>200</v>
      </c>
      <c r="S112">
        <v>100</v>
      </c>
    </row>
    <row r="113" spans="2:19" x14ac:dyDescent="0.2">
      <c r="B113" s="2">
        <v>43061.356917303245</v>
      </c>
      <c r="C113" s="2" t="s">
        <v>651</v>
      </c>
      <c r="D113" s="3" t="s">
        <v>498</v>
      </c>
      <c r="E113" s="3">
        <v>1987</v>
      </c>
      <c r="F113" s="3" t="s">
        <v>495</v>
      </c>
      <c r="G113" s="3" t="s">
        <v>13</v>
      </c>
      <c r="H113" s="3">
        <v>0</v>
      </c>
      <c r="I113" s="3" t="s">
        <v>41</v>
      </c>
      <c r="J113" s="3" t="s">
        <v>25</v>
      </c>
      <c r="K113" s="3" t="s">
        <v>25</v>
      </c>
      <c r="L113" s="3" t="s">
        <v>497</v>
      </c>
      <c r="M113" s="3" t="s">
        <v>205</v>
      </c>
      <c r="N113" s="3" t="s">
        <v>13</v>
      </c>
      <c r="O113">
        <v>1</v>
      </c>
      <c r="Q113" s="3" t="s">
        <v>738</v>
      </c>
      <c r="R113">
        <v>200</v>
      </c>
      <c r="S113">
        <v>100</v>
      </c>
    </row>
    <row r="114" spans="2:19" x14ac:dyDescent="0.2">
      <c r="B114" s="2">
        <v>43061.357956527776</v>
      </c>
      <c r="C114" s="2" t="s">
        <v>651</v>
      </c>
      <c r="D114" s="3" t="s">
        <v>499</v>
      </c>
      <c r="E114" s="3">
        <v>1992</v>
      </c>
      <c r="F114" s="3" t="s">
        <v>495</v>
      </c>
      <c r="G114" s="3" t="s">
        <v>13</v>
      </c>
      <c r="H114" s="3">
        <v>0</v>
      </c>
      <c r="I114" s="3" t="s">
        <v>41</v>
      </c>
      <c r="J114" s="3" t="s">
        <v>13</v>
      </c>
      <c r="K114" s="3" t="s">
        <v>25</v>
      </c>
      <c r="L114" s="3" t="s">
        <v>497</v>
      </c>
      <c r="M114" s="3" t="s">
        <v>59</v>
      </c>
      <c r="N114" s="3" t="s">
        <v>13</v>
      </c>
      <c r="O114">
        <v>1</v>
      </c>
      <c r="Q114" s="3" t="s">
        <v>738</v>
      </c>
      <c r="R114">
        <v>200</v>
      </c>
      <c r="S114">
        <v>100</v>
      </c>
    </row>
    <row r="115" spans="2:19" x14ac:dyDescent="0.2">
      <c r="B115" s="2">
        <v>43061.436310243051</v>
      </c>
      <c r="C115" s="2" t="s">
        <v>651</v>
      </c>
      <c r="D115" s="3" t="s">
        <v>500</v>
      </c>
      <c r="E115" s="3">
        <v>1990</v>
      </c>
      <c r="F115" s="3">
        <v>8012580506</v>
      </c>
      <c r="G115" s="3" t="s">
        <v>13</v>
      </c>
      <c r="H115" s="3">
        <v>1</v>
      </c>
      <c r="I115" s="3" t="s">
        <v>141</v>
      </c>
      <c r="J115" s="3" t="s">
        <v>13</v>
      </c>
      <c r="K115" s="3" t="s">
        <v>13</v>
      </c>
      <c r="L115" s="3" t="s">
        <v>501</v>
      </c>
      <c r="M115" s="3" t="s">
        <v>502</v>
      </c>
      <c r="N115" s="3" t="s">
        <v>13</v>
      </c>
      <c r="O115">
        <v>1</v>
      </c>
      <c r="R115">
        <v>200</v>
      </c>
      <c r="S115">
        <v>100</v>
      </c>
    </row>
    <row r="116" spans="2:19" x14ac:dyDescent="0.2">
      <c r="B116" s="2">
        <v>43061.438962581014</v>
      </c>
      <c r="C116" s="2" t="s">
        <v>651</v>
      </c>
      <c r="D116" s="3" t="s">
        <v>503</v>
      </c>
      <c r="E116" s="3">
        <v>1980</v>
      </c>
      <c r="F116" s="3">
        <v>9840039037</v>
      </c>
      <c r="G116" s="3" t="s">
        <v>13</v>
      </c>
      <c r="H116" s="3">
        <v>0</v>
      </c>
      <c r="I116" s="3" t="s">
        <v>141</v>
      </c>
      <c r="J116" s="3" t="s">
        <v>13</v>
      </c>
      <c r="K116" s="3" t="s">
        <v>13</v>
      </c>
      <c r="L116" s="3" t="s">
        <v>504</v>
      </c>
      <c r="M116" s="3" t="s">
        <v>59</v>
      </c>
    </row>
    <row r="117" spans="2:19" x14ac:dyDescent="0.2">
      <c r="B117" s="2">
        <v>43061.440845405094</v>
      </c>
      <c r="C117" s="2" t="s">
        <v>651</v>
      </c>
      <c r="D117" s="3" t="s">
        <v>505</v>
      </c>
      <c r="E117" s="3">
        <v>1982</v>
      </c>
      <c r="F117" s="3">
        <v>9677099881</v>
      </c>
      <c r="G117" s="3" t="s">
        <v>13</v>
      </c>
      <c r="H117" s="3">
        <v>0</v>
      </c>
      <c r="I117" s="3" t="s">
        <v>141</v>
      </c>
      <c r="J117" s="3" t="s">
        <v>13</v>
      </c>
      <c r="K117" s="3" t="s">
        <v>13</v>
      </c>
      <c r="L117" s="3" t="s">
        <v>293</v>
      </c>
      <c r="M117" s="3" t="s">
        <v>506</v>
      </c>
    </row>
    <row r="118" spans="2:19" x14ac:dyDescent="0.2">
      <c r="B118" s="2">
        <v>43061.442629351848</v>
      </c>
      <c r="C118" s="2" t="s">
        <v>651</v>
      </c>
      <c r="D118" s="3" t="s">
        <v>507</v>
      </c>
      <c r="E118" s="3">
        <v>1984</v>
      </c>
      <c r="F118" s="3">
        <v>9677099881</v>
      </c>
      <c r="G118" s="3" t="s">
        <v>13</v>
      </c>
      <c r="H118" s="3">
        <v>0</v>
      </c>
      <c r="I118" s="3" t="s">
        <v>141</v>
      </c>
      <c r="J118" s="3" t="s">
        <v>13</v>
      </c>
      <c r="K118" s="3" t="s">
        <v>13</v>
      </c>
      <c r="L118" s="3" t="s">
        <v>508</v>
      </c>
      <c r="M118" s="3" t="s">
        <v>509</v>
      </c>
    </row>
    <row r="119" spans="2:19" x14ac:dyDescent="0.2">
      <c r="B119" s="2">
        <v>43061.443342847226</v>
      </c>
      <c r="C119" s="2" t="s">
        <v>651</v>
      </c>
      <c r="D119" s="3" t="s">
        <v>510</v>
      </c>
      <c r="E119" s="3">
        <v>1990</v>
      </c>
      <c r="F119" s="3">
        <v>9677099881</v>
      </c>
      <c r="G119" s="3" t="s">
        <v>13</v>
      </c>
      <c r="H119" s="3">
        <v>0</v>
      </c>
      <c r="I119" s="3" t="s">
        <v>141</v>
      </c>
      <c r="J119" s="3" t="s">
        <v>13</v>
      </c>
      <c r="K119" s="3" t="s">
        <v>13</v>
      </c>
      <c r="L119" s="3" t="s">
        <v>511</v>
      </c>
      <c r="M119" s="3" t="s">
        <v>84</v>
      </c>
      <c r="N119" s="3" t="s">
        <v>13</v>
      </c>
      <c r="O119">
        <v>1</v>
      </c>
      <c r="R119">
        <v>200</v>
      </c>
      <c r="S119">
        <v>100</v>
      </c>
    </row>
    <row r="120" spans="2:19" x14ac:dyDescent="0.2">
      <c r="B120" s="2">
        <v>43061.447423923615</v>
      </c>
      <c r="C120" s="2" t="s">
        <v>651</v>
      </c>
      <c r="D120" s="3" t="s">
        <v>516</v>
      </c>
      <c r="E120" s="3">
        <v>1990</v>
      </c>
      <c r="F120" s="3">
        <v>9791077233</v>
      </c>
      <c r="G120" s="3" t="s">
        <v>13</v>
      </c>
      <c r="H120" s="3" t="s">
        <v>517</v>
      </c>
      <c r="I120" s="3" t="s">
        <v>35</v>
      </c>
      <c r="J120" s="3" t="s">
        <v>13</v>
      </c>
      <c r="K120" s="3" t="s">
        <v>13</v>
      </c>
      <c r="L120" s="3" t="s">
        <v>518</v>
      </c>
      <c r="M120" s="3" t="s">
        <v>519</v>
      </c>
      <c r="N120" s="3" t="s">
        <v>13</v>
      </c>
      <c r="O120">
        <v>1</v>
      </c>
      <c r="P120">
        <v>1</v>
      </c>
      <c r="R120">
        <v>200</v>
      </c>
      <c r="S120">
        <v>100</v>
      </c>
    </row>
    <row r="121" spans="2:19" x14ac:dyDescent="0.2">
      <c r="B121" s="2">
        <v>43061.462324942127</v>
      </c>
      <c r="C121" s="2" t="s">
        <v>651</v>
      </c>
      <c r="D121" s="3" t="s">
        <v>520</v>
      </c>
      <c r="E121" s="3">
        <v>1971</v>
      </c>
      <c r="F121" s="3">
        <v>9790748317</v>
      </c>
      <c r="G121" s="3" t="s">
        <v>13</v>
      </c>
      <c r="H121" s="3">
        <v>1</v>
      </c>
      <c r="I121" s="3" t="s">
        <v>521</v>
      </c>
      <c r="J121" s="3" t="s">
        <v>13</v>
      </c>
      <c r="K121" s="3" t="s">
        <v>13</v>
      </c>
      <c r="L121" s="3" t="s">
        <v>522</v>
      </c>
      <c r="M121" s="3" t="s">
        <v>59</v>
      </c>
    </row>
    <row r="122" spans="2:19" x14ac:dyDescent="0.2">
      <c r="B122" s="2">
        <v>43061.464401226855</v>
      </c>
      <c r="C122" s="2" t="s">
        <v>651</v>
      </c>
      <c r="D122" s="3" t="s">
        <v>523</v>
      </c>
      <c r="E122" s="3">
        <v>1971</v>
      </c>
      <c r="F122" s="3">
        <v>9790748317</v>
      </c>
      <c r="G122" s="3" t="s">
        <v>13</v>
      </c>
      <c r="H122" s="3">
        <v>1</v>
      </c>
      <c r="I122" s="3" t="s">
        <v>521</v>
      </c>
      <c r="J122" s="3" t="s">
        <v>13</v>
      </c>
      <c r="K122" s="3" t="s">
        <v>13</v>
      </c>
      <c r="L122" s="3" t="s">
        <v>522</v>
      </c>
      <c r="M122" s="3" t="s">
        <v>59</v>
      </c>
    </row>
    <row r="123" spans="2:19" x14ac:dyDescent="0.2">
      <c r="B123" s="2">
        <v>43061.466326689813</v>
      </c>
      <c r="C123" s="2" t="s">
        <v>651</v>
      </c>
      <c r="D123" s="3" t="s">
        <v>524</v>
      </c>
      <c r="E123" s="3">
        <v>1991</v>
      </c>
      <c r="F123" s="3">
        <v>9048836136</v>
      </c>
      <c r="G123" s="3" t="s">
        <v>13</v>
      </c>
      <c r="H123" s="3">
        <v>2</v>
      </c>
      <c r="I123" s="3" t="s">
        <v>35</v>
      </c>
      <c r="J123" s="3" t="s">
        <v>13</v>
      </c>
      <c r="K123" s="3" t="s">
        <v>13</v>
      </c>
      <c r="L123" s="3" t="s">
        <v>525</v>
      </c>
      <c r="M123" s="3" t="s">
        <v>526</v>
      </c>
    </row>
    <row r="124" spans="2:19" x14ac:dyDescent="0.2">
      <c r="B124" s="2">
        <v>43061.479730162042</v>
      </c>
      <c r="C124" s="2" t="s">
        <v>651</v>
      </c>
      <c r="D124" s="3" t="s">
        <v>527</v>
      </c>
      <c r="E124" s="3">
        <v>1961</v>
      </c>
      <c r="F124" s="3">
        <v>9444391505</v>
      </c>
      <c r="G124" s="3" t="s">
        <v>13</v>
      </c>
      <c r="H124" s="3" t="s">
        <v>101</v>
      </c>
      <c r="I124" s="3" t="s">
        <v>41</v>
      </c>
      <c r="J124" s="3" t="s">
        <v>13</v>
      </c>
      <c r="K124" s="3" t="s">
        <v>13</v>
      </c>
      <c r="L124" s="3" t="s">
        <v>528</v>
      </c>
      <c r="M124" s="3" t="s">
        <v>529</v>
      </c>
    </row>
    <row r="125" spans="2:19" x14ac:dyDescent="0.2">
      <c r="B125" s="2">
        <v>43061.483288634263</v>
      </c>
      <c r="C125" s="2" t="s">
        <v>651</v>
      </c>
      <c r="D125" s="3" t="s">
        <v>530</v>
      </c>
      <c r="E125" s="3">
        <v>1990</v>
      </c>
      <c r="F125" s="3">
        <v>994149910</v>
      </c>
      <c r="G125" s="3" t="s">
        <v>13</v>
      </c>
      <c r="H125" s="3">
        <v>1</v>
      </c>
      <c r="I125" s="3" t="s">
        <v>20</v>
      </c>
      <c r="J125" s="3" t="s">
        <v>25</v>
      </c>
      <c r="K125" s="3" t="s">
        <v>25</v>
      </c>
      <c r="L125" s="3" t="s">
        <v>531</v>
      </c>
      <c r="M125" s="3" t="s">
        <v>17</v>
      </c>
      <c r="N125" s="3" t="s">
        <v>25</v>
      </c>
      <c r="O125">
        <v>1</v>
      </c>
    </row>
    <row r="126" spans="2:19" x14ac:dyDescent="0.2">
      <c r="B126" s="2">
        <v>43061.51953237268</v>
      </c>
      <c r="C126" s="2" t="s">
        <v>651</v>
      </c>
      <c r="D126" s="3" t="s">
        <v>532</v>
      </c>
      <c r="E126" s="3">
        <v>1979</v>
      </c>
      <c r="F126" s="3">
        <v>919840067489</v>
      </c>
      <c r="G126" s="3" t="s">
        <v>13</v>
      </c>
      <c r="H126" s="3" t="s">
        <v>533</v>
      </c>
      <c r="I126" s="3" t="s">
        <v>534</v>
      </c>
      <c r="J126" s="3" t="s">
        <v>25</v>
      </c>
      <c r="K126" s="3" t="s">
        <v>25</v>
      </c>
      <c r="L126" s="3" t="s">
        <v>535</v>
      </c>
      <c r="M126" s="3" t="s">
        <v>59</v>
      </c>
      <c r="N126" s="3" t="s">
        <v>25</v>
      </c>
      <c r="O126">
        <v>3</v>
      </c>
    </row>
    <row r="127" spans="2:19" x14ac:dyDescent="0.2">
      <c r="B127" s="2">
        <v>43061.521258032408</v>
      </c>
      <c r="C127" s="2" t="s">
        <v>651</v>
      </c>
      <c r="D127" s="3" t="s">
        <v>536</v>
      </c>
      <c r="E127" s="3">
        <v>1979</v>
      </c>
      <c r="F127" s="3">
        <v>919840067489</v>
      </c>
      <c r="G127" s="3" t="s">
        <v>13</v>
      </c>
      <c r="H127" s="3" t="s">
        <v>537</v>
      </c>
      <c r="I127" s="3" t="s">
        <v>538</v>
      </c>
      <c r="J127" s="3" t="s">
        <v>13</v>
      </c>
      <c r="K127" s="3" t="s">
        <v>13</v>
      </c>
      <c r="L127" s="3" t="s">
        <v>535</v>
      </c>
      <c r="M127" s="3" t="s">
        <v>59</v>
      </c>
      <c r="N127" s="3" t="s">
        <v>13</v>
      </c>
      <c r="O127">
        <v>2</v>
      </c>
      <c r="Q127" s="3" t="s">
        <v>725</v>
      </c>
      <c r="R127">
        <v>400</v>
      </c>
      <c r="S127">
        <v>100</v>
      </c>
    </row>
    <row r="128" spans="2:19" x14ac:dyDescent="0.2">
      <c r="B128" s="2">
        <v>43061.572465474535</v>
      </c>
      <c r="C128" s="2" t="s">
        <v>651</v>
      </c>
      <c r="D128" s="3" t="s">
        <v>539</v>
      </c>
      <c r="E128" s="3">
        <v>1989</v>
      </c>
      <c r="F128" s="3">
        <v>9840057055</v>
      </c>
      <c r="G128" s="3" t="s">
        <v>13</v>
      </c>
      <c r="H128" s="3" t="s">
        <v>540</v>
      </c>
      <c r="I128" s="3" t="s">
        <v>484</v>
      </c>
      <c r="J128" s="3" t="s">
        <v>25</v>
      </c>
      <c r="K128" s="3" t="s">
        <v>13</v>
      </c>
      <c r="L128" s="3" t="s">
        <v>541</v>
      </c>
      <c r="M128" s="3" t="s">
        <v>59</v>
      </c>
    </row>
    <row r="129" spans="2:19" x14ac:dyDescent="0.2">
      <c r="B129" s="2">
        <v>43061.602686168982</v>
      </c>
      <c r="C129" s="2" t="s">
        <v>651</v>
      </c>
      <c r="D129" s="3" t="s">
        <v>542</v>
      </c>
      <c r="E129" s="3">
        <v>1988</v>
      </c>
      <c r="F129" s="3" t="s">
        <v>543</v>
      </c>
      <c r="G129" s="3" t="s">
        <v>13</v>
      </c>
      <c r="H129" s="3">
        <v>1</v>
      </c>
      <c r="I129" s="3" t="s">
        <v>35</v>
      </c>
      <c r="J129" s="3" t="s">
        <v>13</v>
      </c>
      <c r="K129" s="3" t="s">
        <v>13</v>
      </c>
      <c r="L129" s="3" t="s">
        <v>544</v>
      </c>
      <c r="M129" s="3" t="s">
        <v>205</v>
      </c>
    </row>
    <row r="130" spans="2:19" x14ac:dyDescent="0.2">
      <c r="B130" s="2">
        <v>43061.604185497687</v>
      </c>
      <c r="C130" s="2" t="s">
        <v>651</v>
      </c>
      <c r="D130" s="3" t="s">
        <v>545</v>
      </c>
      <c r="E130" s="3">
        <v>1991</v>
      </c>
      <c r="F130" s="3">
        <v>9884611423</v>
      </c>
      <c r="G130" s="3" t="s">
        <v>13</v>
      </c>
      <c r="H130" s="3">
        <v>0</v>
      </c>
      <c r="I130" s="3" t="s">
        <v>41</v>
      </c>
      <c r="J130" s="3" t="s">
        <v>13</v>
      </c>
      <c r="K130" s="3" t="s">
        <v>13</v>
      </c>
      <c r="L130" s="3" t="s">
        <v>546</v>
      </c>
      <c r="M130" s="3" t="s">
        <v>17</v>
      </c>
    </row>
    <row r="131" spans="2:19" x14ac:dyDescent="0.2">
      <c r="B131" s="2">
        <v>43061.605912800922</v>
      </c>
      <c r="C131" s="2" t="s">
        <v>651</v>
      </c>
      <c r="D131" s="3" t="s">
        <v>547</v>
      </c>
      <c r="E131" s="3">
        <v>1984</v>
      </c>
      <c r="F131" s="3">
        <v>7904914616</v>
      </c>
      <c r="G131" s="3" t="s">
        <v>13</v>
      </c>
      <c r="H131" s="3" t="s">
        <v>101</v>
      </c>
      <c r="I131" s="3" t="s">
        <v>35</v>
      </c>
      <c r="J131" s="3" t="s">
        <v>25</v>
      </c>
      <c r="K131" s="3" t="s">
        <v>25</v>
      </c>
      <c r="L131" s="3" t="s">
        <v>548</v>
      </c>
      <c r="M131" s="3" t="s">
        <v>59</v>
      </c>
    </row>
    <row r="132" spans="2:19" x14ac:dyDescent="0.2">
      <c r="B132" s="2">
        <v>43061.613164502312</v>
      </c>
      <c r="C132" s="2" t="s">
        <v>651</v>
      </c>
      <c r="D132" s="3" t="s">
        <v>549</v>
      </c>
      <c r="E132" s="3">
        <v>1979</v>
      </c>
      <c r="F132" s="3">
        <v>9841046489</v>
      </c>
      <c r="G132" s="3" t="s">
        <v>13</v>
      </c>
      <c r="H132" s="3" t="s">
        <v>550</v>
      </c>
      <c r="I132" s="3" t="s">
        <v>551</v>
      </c>
      <c r="J132" s="3" t="s">
        <v>13</v>
      </c>
      <c r="K132" s="3" t="s">
        <v>13</v>
      </c>
      <c r="L132" s="3" t="s">
        <v>552</v>
      </c>
      <c r="M132" s="3" t="s">
        <v>59</v>
      </c>
      <c r="N132" s="3" t="s">
        <v>13</v>
      </c>
      <c r="O132">
        <v>3</v>
      </c>
      <c r="Q132" s="7">
        <v>43019</v>
      </c>
      <c r="R132">
        <v>600</v>
      </c>
      <c r="S132">
        <v>100</v>
      </c>
    </row>
    <row r="133" spans="2:19" x14ac:dyDescent="0.2">
      <c r="B133" s="2">
        <v>43061.645713090278</v>
      </c>
      <c r="C133" s="2" t="s">
        <v>651</v>
      </c>
      <c r="D133" s="3" t="s">
        <v>553</v>
      </c>
      <c r="E133" s="3">
        <v>1979</v>
      </c>
      <c r="F133" s="3" t="s">
        <v>554</v>
      </c>
      <c r="G133" s="3" t="s">
        <v>13</v>
      </c>
      <c r="H133" s="3" t="s">
        <v>555</v>
      </c>
      <c r="I133" s="3" t="s">
        <v>556</v>
      </c>
      <c r="J133" s="3" t="s">
        <v>13</v>
      </c>
      <c r="K133" s="3" t="s">
        <v>13</v>
      </c>
      <c r="L133" s="3" t="s">
        <v>557</v>
      </c>
      <c r="M133" s="3" t="s">
        <v>558</v>
      </c>
      <c r="N133" s="3" t="s">
        <v>13</v>
      </c>
      <c r="O133">
        <v>1</v>
      </c>
      <c r="Q133" s="3" t="s">
        <v>725</v>
      </c>
      <c r="R133">
        <v>200</v>
      </c>
      <c r="S133">
        <v>100</v>
      </c>
    </row>
    <row r="134" spans="2:19" x14ac:dyDescent="0.2">
      <c r="B134" s="2">
        <v>43061.65546731482</v>
      </c>
      <c r="C134" s="2" t="s">
        <v>651</v>
      </c>
      <c r="D134" s="3" t="s">
        <v>151</v>
      </c>
      <c r="E134" s="3">
        <v>1991</v>
      </c>
      <c r="F134" s="3">
        <v>9840716164</v>
      </c>
      <c r="G134" s="3" t="s">
        <v>13</v>
      </c>
      <c r="H134" s="3">
        <v>1</v>
      </c>
      <c r="I134" s="3" t="s">
        <v>153</v>
      </c>
      <c r="J134" s="3" t="s">
        <v>25</v>
      </c>
      <c r="K134" s="3" t="s">
        <v>13</v>
      </c>
      <c r="L134" s="3" t="s">
        <v>559</v>
      </c>
      <c r="M134" s="3" t="s">
        <v>84</v>
      </c>
    </row>
    <row r="135" spans="2:19" x14ac:dyDescent="0.2">
      <c r="B135" s="2">
        <v>43061.815782997684</v>
      </c>
      <c r="C135" s="2" t="s">
        <v>651</v>
      </c>
      <c r="D135" s="3" t="s">
        <v>560</v>
      </c>
      <c r="E135" s="3">
        <v>1988</v>
      </c>
      <c r="F135" s="3">
        <v>8939288166</v>
      </c>
      <c r="G135" s="3" t="s">
        <v>13</v>
      </c>
      <c r="H135" s="3">
        <v>2</v>
      </c>
      <c r="I135" s="3" t="s">
        <v>35</v>
      </c>
      <c r="J135" s="3" t="s">
        <v>13</v>
      </c>
      <c r="K135" s="3" t="s">
        <v>13</v>
      </c>
      <c r="L135" s="3">
        <v>1</v>
      </c>
      <c r="M135" s="3" t="s">
        <v>205</v>
      </c>
    </row>
    <row r="136" spans="2:19" x14ac:dyDescent="0.2">
      <c r="B136" s="2">
        <v>43062.484621307871</v>
      </c>
      <c r="C136" s="2" t="s">
        <v>651</v>
      </c>
      <c r="D136" s="3" t="s">
        <v>561</v>
      </c>
      <c r="E136" s="3">
        <v>1996</v>
      </c>
      <c r="F136" s="3">
        <v>9790990990</v>
      </c>
      <c r="G136" s="3" t="s">
        <v>13</v>
      </c>
      <c r="H136" s="3" t="s">
        <v>562</v>
      </c>
      <c r="I136" s="3" t="s">
        <v>438</v>
      </c>
      <c r="J136" s="3" t="s">
        <v>25</v>
      </c>
      <c r="K136" s="3" t="s">
        <v>13</v>
      </c>
      <c r="L136" s="3" t="s">
        <v>420</v>
      </c>
      <c r="M136" s="3" t="s">
        <v>84</v>
      </c>
    </row>
    <row r="137" spans="2:19" x14ac:dyDescent="0.2">
      <c r="B137" s="2">
        <v>43062.490614548609</v>
      </c>
      <c r="C137" s="2" t="s">
        <v>651</v>
      </c>
      <c r="D137" s="3" t="s">
        <v>563</v>
      </c>
      <c r="E137" s="3">
        <v>1995</v>
      </c>
      <c r="F137" s="3">
        <v>9092599733</v>
      </c>
      <c r="G137" s="3" t="s">
        <v>13</v>
      </c>
      <c r="H137" s="3" t="s">
        <v>564</v>
      </c>
      <c r="I137" s="3" t="s">
        <v>35</v>
      </c>
      <c r="J137" s="3" t="s">
        <v>25</v>
      </c>
      <c r="K137" s="3" t="s">
        <v>25</v>
      </c>
      <c r="L137" s="3" t="s">
        <v>565</v>
      </c>
      <c r="M137" s="3" t="s">
        <v>59</v>
      </c>
    </row>
    <row r="138" spans="2:19" x14ac:dyDescent="0.2">
      <c r="B138" s="2">
        <v>43062.503401296301</v>
      </c>
      <c r="C138" s="2" t="s">
        <v>651</v>
      </c>
      <c r="D138" s="3" t="s">
        <v>566</v>
      </c>
      <c r="E138" s="3">
        <v>1979</v>
      </c>
      <c r="F138" s="3">
        <v>9840734137</v>
      </c>
      <c r="G138" s="3" t="s">
        <v>13</v>
      </c>
      <c r="H138" s="3">
        <v>1</v>
      </c>
      <c r="I138" s="3" t="s">
        <v>13</v>
      </c>
      <c r="J138" s="3" t="s">
        <v>13</v>
      </c>
      <c r="K138" s="3" t="s">
        <v>13</v>
      </c>
      <c r="L138" s="3" t="s">
        <v>567</v>
      </c>
      <c r="M138" s="3" t="s">
        <v>59</v>
      </c>
      <c r="N138" s="3" t="s">
        <v>13</v>
      </c>
      <c r="O138">
        <v>1</v>
      </c>
      <c r="Q138" s="3" t="s">
        <v>726</v>
      </c>
      <c r="R138">
        <v>200</v>
      </c>
      <c r="S138">
        <v>100</v>
      </c>
    </row>
    <row r="139" spans="2:19" x14ac:dyDescent="0.2">
      <c r="B139" s="2">
        <v>43062.550184560183</v>
      </c>
      <c r="C139" s="2" t="s">
        <v>651</v>
      </c>
      <c r="D139" s="3" t="s">
        <v>568</v>
      </c>
      <c r="E139" s="3">
        <v>1991</v>
      </c>
      <c r="F139" s="3">
        <v>9884213331</v>
      </c>
      <c r="G139" s="3" t="s">
        <v>13</v>
      </c>
      <c r="H139" s="3">
        <v>1</v>
      </c>
      <c r="I139" s="3" t="s">
        <v>25</v>
      </c>
      <c r="J139" s="3" t="s">
        <v>13</v>
      </c>
      <c r="K139" s="3" t="s">
        <v>13</v>
      </c>
      <c r="L139" s="3" t="s">
        <v>569</v>
      </c>
      <c r="M139" s="3" t="s">
        <v>59</v>
      </c>
    </row>
    <row r="140" spans="2:19" x14ac:dyDescent="0.2">
      <c r="B140" s="2">
        <v>43062.788576990744</v>
      </c>
      <c r="C140" s="2" t="s">
        <v>651</v>
      </c>
      <c r="D140" s="3" t="s">
        <v>570</v>
      </c>
      <c r="E140" s="3">
        <v>1990</v>
      </c>
      <c r="F140" s="3">
        <v>9840735718</v>
      </c>
      <c r="G140" s="3" t="s">
        <v>13</v>
      </c>
      <c r="H140" s="3" t="s">
        <v>571</v>
      </c>
      <c r="I140" s="3" t="s">
        <v>35</v>
      </c>
      <c r="J140" s="3" t="s">
        <v>13</v>
      </c>
      <c r="K140" s="3" t="s">
        <v>13</v>
      </c>
      <c r="L140" s="3" t="s">
        <v>572</v>
      </c>
      <c r="M140" s="3" t="s">
        <v>573</v>
      </c>
      <c r="N140" s="3" t="s">
        <v>13</v>
      </c>
      <c r="O140">
        <v>4</v>
      </c>
      <c r="R140">
        <f>200*4</f>
        <v>800</v>
      </c>
      <c r="S140">
        <v>100</v>
      </c>
    </row>
    <row r="141" spans="2:19" x14ac:dyDescent="0.2">
      <c r="B141" s="2">
        <v>43062.862727418978</v>
      </c>
      <c r="C141" s="2" t="s">
        <v>651</v>
      </c>
      <c r="D141" s="3" t="s">
        <v>574</v>
      </c>
      <c r="E141" s="3">
        <v>1982</v>
      </c>
      <c r="F141" s="3">
        <v>9003024557</v>
      </c>
      <c r="G141" s="3" t="s">
        <v>13</v>
      </c>
      <c r="H141" s="3" t="s">
        <v>101</v>
      </c>
      <c r="I141" s="3" t="s">
        <v>13</v>
      </c>
      <c r="J141" s="3" t="s">
        <v>25</v>
      </c>
      <c r="K141" s="3" t="s">
        <v>25</v>
      </c>
      <c r="L141" s="3" t="s">
        <v>575</v>
      </c>
      <c r="M141" s="3" t="s">
        <v>59</v>
      </c>
    </row>
    <row r="142" spans="2:19" x14ac:dyDescent="0.2">
      <c r="B142" s="2">
        <v>43062.880733888887</v>
      </c>
      <c r="C142" s="2" t="s">
        <v>651</v>
      </c>
      <c r="D142" s="3" t="s">
        <v>577</v>
      </c>
      <c r="E142" s="3">
        <v>1990</v>
      </c>
      <c r="F142" s="3">
        <v>9840244278</v>
      </c>
      <c r="G142" s="3" t="s">
        <v>13</v>
      </c>
      <c r="H142" s="3" t="s">
        <v>40</v>
      </c>
      <c r="I142" s="3" t="s">
        <v>35</v>
      </c>
      <c r="J142" s="3" t="s">
        <v>13</v>
      </c>
      <c r="K142" s="3" t="s">
        <v>13</v>
      </c>
      <c r="L142" s="3" t="s">
        <v>518</v>
      </c>
      <c r="M142" s="3" t="s">
        <v>519</v>
      </c>
      <c r="N142" s="3" t="s">
        <v>13</v>
      </c>
      <c r="O142">
        <v>1</v>
      </c>
      <c r="R142">
        <v>200</v>
      </c>
      <c r="S142">
        <v>100</v>
      </c>
    </row>
    <row r="143" spans="2:19" x14ac:dyDescent="0.2">
      <c r="B143" s="2">
        <v>43062.889899699076</v>
      </c>
      <c r="C143" s="2" t="s">
        <v>651</v>
      </c>
      <c r="D143" s="3" t="s">
        <v>578</v>
      </c>
      <c r="E143" s="3">
        <v>2012</v>
      </c>
      <c r="F143" s="3">
        <v>9500180455</v>
      </c>
      <c r="G143" s="3" t="s">
        <v>13</v>
      </c>
      <c r="H143" s="3">
        <v>1</v>
      </c>
      <c r="I143" s="3" t="s">
        <v>579</v>
      </c>
      <c r="J143" s="3" t="s">
        <v>25</v>
      </c>
      <c r="K143" s="3" t="s">
        <v>13</v>
      </c>
      <c r="L143" s="3" t="s">
        <v>580</v>
      </c>
      <c r="M143" s="3" t="s">
        <v>205</v>
      </c>
    </row>
    <row r="144" spans="2:19" x14ac:dyDescent="0.2">
      <c r="B144" s="2">
        <v>43062.896231331018</v>
      </c>
      <c r="C144" s="2" t="s">
        <v>651</v>
      </c>
      <c r="D144" s="3" t="s">
        <v>581</v>
      </c>
      <c r="E144" s="3">
        <v>1981</v>
      </c>
      <c r="F144" s="3">
        <v>9840328034</v>
      </c>
      <c r="G144" s="3" t="s">
        <v>13</v>
      </c>
      <c r="H144" s="3">
        <v>1</v>
      </c>
      <c r="I144" s="3" t="s">
        <v>13</v>
      </c>
      <c r="J144" s="3" t="s">
        <v>25</v>
      </c>
      <c r="K144" s="3" t="s">
        <v>13</v>
      </c>
      <c r="L144" s="3" t="s">
        <v>582</v>
      </c>
      <c r="M144" s="3" t="s">
        <v>583</v>
      </c>
    </row>
    <row r="145" spans="2:19" x14ac:dyDescent="0.2">
      <c r="B145" s="2">
        <v>43062.901742743052</v>
      </c>
      <c r="C145" s="2" t="s">
        <v>651</v>
      </c>
      <c r="D145" s="3" t="s">
        <v>584</v>
      </c>
      <c r="E145" s="3">
        <v>1981</v>
      </c>
      <c r="F145" s="3">
        <v>9444010647</v>
      </c>
      <c r="G145" s="3" t="s">
        <v>13</v>
      </c>
      <c r="H145" s="3" t="s">
        <v>250</v>
      </c>
      <c r="I145" s="3" t="s">
        <v>279</v>
      </c>
      <c r="J145" s="3" t="s">
        <v>13</v>
      </c>
      <c r="K145" s="3" t="s">
        <v>13</v>
      </c>
      <c r="L145" s="3" t="s">
        <v>585</v>
      </c>
      <c r="M145" s="3" t="s">
        <v>586</v>
      </c>
    </row>
    <row r="146" spans="2:19" x14ac:dyDescent="0.2">
      <c r="B146" s="2">
        <v>43062.931200173611</v>
      </c>
      <c r="C146" s="2" t="s">
        <v>651</v>
      </c>
      <c r="D146" s="3" t="s">
        <v>587</v>
      </c>
      <c r="E146" s="3">
        <v>1985</v>
      </c>
      <c r="F146" s="3">
        <v>9444018560</v>
      </c>
      <c r="G146" s="3" t="s">
        <v>13</v>
      </c>
      <c r="H146" s="3" t="s">
        <v>101</v>
      </c>
      <c r="I146" s="3" t="s">
        <v>35</v>
      </c>
      <c r="J146" s="3" t="s">
        <v>25</v>
      </c>
      <c r="K146" s="3" t="s">
        <v>13</v>
      </c>
      <c r="L146" s="3" t="s">
        <v>588</v>
      </c>
      <c r="M146" s="3" t="s">
        <v>59</v>
      </c>
    </row>
    <row r="147" spans="2:19" x14ac:dyDescent="0.2">
      <c r="B147" s="2">
        <v>43062.9331337037</v>
      </c>
      <c r="C147" s="2" t="s">
        <v>651</v>
      </c>
      <c r="D147" s="3" t="s">
        <v>589</v>
      </c>
      <c r="E147" s="3">
        <v>1988</v>
      </c>
      <c r="F147" s="3">
        <v>9840117000</v>
      </c>
      <c r="G147" s="3" t="s">
        <v>13</v>
      </c>
      <c r="H147" s="3" t="s">
        <v>101</v>
      </c>
      <c r="I147" s="3" t="s">
        <v>20</v>
      </c>
      <c r="J147" s="3" t="s">
        <v>13</v>
      </c>
      <c r="K147" s="3" t="s">
        <v>25</v>
      </c>
      <c r="L147" s="3" t="s">
        <v>590</v>
      </c>
      <c r="M147" s="3" t="s">
        <v>59</v>
      </c>
    </row>
    <row r="148" spans="2:19" x14ac:dyDescent="0.2">
      <c r="B148" s="2">
        <v>43062.933135312502</v>
      </c>
      <c r="C148" s="2" t="s">
        <v>651</v>
      </c>
      <c r="D148" s="3" t="s">
        <v>589</v>
      </c>
      <c r="E148" s="3">
        <v>1988</v>
      </c>
      <c r="F148" s="3">
        <v>9840117000</v>
      </c>
      <c r="G148" s="3" t="s">
        <v>13</v>
      </c>
      <c r="H148" s="3" t="s">
        <v>101</v>
      </c>
      <c r="I148" s="3" t="s">
        <v>20</v>
      </c>
      <c r="J148" s="3" t="s">
        <v>13</v>
      </c>
      <c r="K148" s="3" t="s">
        <v>25</v>
      </c>
      <c r="L148" s="3" t="s">
        <v>590</v>
      </c>
      <c r="M148" s="3" t="s">
        <v>59</v>
      </c>
    </row>
    <row r="149" spans="2:19" x14ac:dyDescent="0.2">
      <c r="B149" s="2">
        <v>43062.957323900468</v>
      </c>
      <c r="C149" s="2" t="s">
        <v>651</v>
      </c>
      <c r="D149" s="3" t="s">
        <v>591</v>
      </c>
      <c r="E149" s="3">
        <v>1984</v>
      </c>
      <c r="F149" s="3">
        <v>9884078601</v>
      </c>
      <c r="G149" s="3" t="s">
        <v>13</v>
      </c>
      <c r="H149" s="3">
        <v>1</v>
      </c>
      <c r="I149" s="3" t="s">
        <v>13</v>
      </c>
      <c r="J149" s="3" t="s">
        <v>25</v>
      </c>
      <c r="K149" s="3" t="s">
        <v>13</v>
      </c>
      <c r="L149" s="3" t="s">
        <v>592</v>
      </c>
      <c r="M149" s="3" t="s">
        <v>59</v>
      </c>
    </row>
    <row r="150" spans="2:19" x14ac:dyDescent="0.2">
      <c r="B150" s="2">
        <v>43063.300783495375</v>
      </c>
      <c r="C150" s="2" t="s">
        <v>651</v>
      </c>
      <c r="D150" s="3" t="s">
        <v>595</v>
      </c>
      <c r="E150" s="3">
        <v>1981</v>
      </c>
      <c r="F150" s="3">
        <v>9884047796</v>
      </c>
      <c r="G150" s="3" t="s">
        <v>13</v>
      </c>
      <c r="H150" s="3" t="s">
        <v>92</v>
      </c>
      <c r="I150" s="3" t="s">
        <v>15</v>
      </c>
      <c r="J150" s="3" t="s">
        <v>25</v>
      </c>
      <c r="K150" s="3" t="s">
        <v>25</v>
      </c>
      <c r="L150" s="3" t="s">
        <v>596</v>
      </c>
      <c r="M150" s="3" t="s">
        <v>59</v>
      </c>
    </row>
    <row r="151" spans="2:19" x14ac:dyDescent="0.2">
      <c r="B151" s="2">
        <v>43063.343677268524</v>
      </c>
      <c r="C151" s="2" t="s">
        <v>651</v>
      </c>
      <c r="D151" s="3" t="s">
        <v>597</v>
      </c>
      <c r="E151" s="3">
        <v>1981</v>
      </c>
      <c r="F151" s="3">
        <v>9445149445</v>
      </c>
      <c r="G151" s="3" t="s">
        <v>13</v>
      </c>
      <c r="H151" s="3" t="s">
        <v>598</v>
      </c>
      <c r="I151" s="3" t="s">
        <v>599</v>
      </c>
      <c r="J151" s="3" t="s">
        <v>25</v>
      </c>
      <c r="K151" s="3" t="s">
        <v>25</v>
      </c>
      <c r="L151" s="3" t="s">
        <v>276</v>
      </c>
      <c r="M151" s="3" t="s">
        <v>59</v>
      </c>
    </row>
    <row r="152" spans="2:19" x14ac:dyDescent="0.2">
      <c r="B152" s="2">
        <v>43063.467357060188</v>
      </c>
      <c r="C152" s="2" t="s">
        <v>651</v>
      </c>
      <c r="D152" s="3" t="s">
        <v>600</v>
      </c>
      <c r="E152" s="3">
        <v>1988</v>
      </c>
      <c r="F152" s="3">
        <v>9885032015</v>
      </c>
      <c r="G152" s="3" t="s">
        <v>13</v>
      </c>
      <c r="H152" s="3">
        <v>2</v>
      </c>
      <c r="I152" s="3" t="s">
        <v>13</v>
      </c>
      <c r="J152" s="3" t="s">
        <v>25</v>
      </c>
      <c r="K152" s="3" t="s">
        <v>13</v>
      </c>
      <c r="L152" s="3" t="s">
        <v>601</v>
      </c>
      <c r="M152" s="3" t="s">
        <v>602</v>
      </c>
    </row>
    <row r="153" spans="2:19" x14ac:dyDescent="0.2">
      <c r="B153" s="2">
        <v>43063.489800474534</v>
      </c>
      <c r="C153" s="2" t="s">
        <v>651</v>
      </c>
      <c r="D153" s="3" t="s">
        <v>603</v>
      </c>
      <c r="E153" s="3">
        <v>1990</v>
      </c>
      <c r="F153" s="3">
        <v>9840350724</v>
      </c>
      <c r="G153" s="3" t="s">
        <v>13</v>
      </c>
      <c r="H153" s="3" t="s">
        <v>604</v>
      </c>
      <c r="I153" s="3" t="s">
        <v>605</v>
      </c>
      <c r="J153" s="3" t="s">
        <v>13</v>
      </c>
      <c r="K153" s="3" t="s">
        <v>13</v>
      </c>
      <c r="L153" s="3" t="s">
        <v>606</v>
      </c>
      <c r="M153" s="3" t="s">
        <v>59</v>
      </c>
      <c r="N153" s="3" t="s">
        <v>13</v>
      </c>
      <c r="O153">
        <v>2</v>
      </c>
      <c r="P153">
        <v>1</v>
      </c>
      <c r="R153">
        <f>200*3</f>
        <v>600</v>
      </c>
      <c r="S153">
        <v>100</v>
      </c>
    </row>
    <row r="154" spans="2:19" x14ac:dyDescent="0.2">
      <c r="B154" s="2">
        <v>43063.534392199072</v>
      </c>
      <c r="C154" s="2" t="s">
        <v>651</v>
      </c>
      <c r="D154" s="3" t="s">
        <v>607</v>
      </c>
      <c r="E154" s="3">
        <v>1991</v>
      </c>
      <c r="F154" s="3">
        <v>9943388833</v>
      </c>
      <c r="G154" s="3" t="s">
        <v>13</v>
      </c>
      <c r="H154" s="3" t="s">
        <v>92</v>
      </c>
      <c r="I154" s="3" t="s">
        <v>13</v>
      </c>
      <c r="J154" s="3" t="s">
        <v>13</v>
      </c>
      <c r="K154" s="3" t="s">
        <v>13</v>
      </c>
      <c r="L154" s="3" t="s">
        <v>608</v>
      </c>
      <c r="M154" s="3" t="s">
        <v>59</v>
      </c>
    </row>
    <row r="155" spans="2:19" x14ac:dyDescent="0.2">
      <c r="B155" s="2">
        <v>43063.73371951389</v>
      </c>
      <c r="C155" s="2" t="s">
        <v>651</v>
      </c>
      <c r="D155" s="3" t="s">
        <v>609</v>
      </c>
      <c r="E155" s="3">
        <v>1988</v>
      </c>
      <c r="F155" s="3">
        <v>9841423786</v>
      </c>
      <c r="G155" s="3" t="s">
        <v>13</v>
      </c>
      <c r="H155" s="3">
        <v>1</v>
      </c>
      <c r="I155" s="3" t="s">
        <v>13</v>
      </c>
      <c r="J155" s="3" t="s">
        <v>13</v>
      </c>
      <c r="K155" s="3" t="s">
        <v>13</v>
      </c>
      <c r="L155" s="3" t="s">
        <v>610</v>
      </c>
      <c r="M155" s="3" t="s">
        <v>59</v>
      </c>
    </row>
    <row r="156" spans="2:19" x14ac:dyDescent="0.2">
      <c r="B156" s="2">
        <v>43063.884979050927</v>
      </c>
      <c r="C156" s="2" t="s">
        <v>651</v>
      </c>
      <c r="D156" s="3" t="s">
        <v>611</v>
      </c>
      <c r="E156" s="3">
        <v>1981</v>
      </c>
      <c r="F156" s="3">
        <v>9884421428</v>
      </c>
      <c r="G156" s="3" t="s">
        <v>13</v>
      </c>
      <c r="H156" s="3">
        <v>1</v>
      </c>
      <c r="I156" s="3" t="s">
        <v>141</v>
      </c>
      <c r="J156" s="3" t="s">
        <v>25</v>
      </c>
      <c r="K156" s="3" t="s">
        <v>25</v>
      </c>
      <c r="L156" s="3" t="s">
        <v>612</v>
      </c>
      <c r="M156" s="3" t="s">
        <v>59</v>
      </c>
    </row>
    <row r="157" spans="2:19" x14ac:dyDescent="0.2">
      <c r="B157" s="2">
        <v>43063.886776435189</v>
      </c>
      <c r="C157" s="2" t="s">
        <v>651</v>
      </c>
      <c r="D157" s="3" t="s">
        <v>613</v>
      </c>
      <c r="E157" s="3">
        <v>1988</v>
      </c>
      <c r="F157" s="3">
        <v>9941917866</v>
      </c>
      <c r="G157" s="3" t="s">
        <v>13</v>
      </c>
      <c r="H157" s="3" t="s">
        <v>40</v>
      </c>
      <c r="I157" s="3" t="s">
        <v>141</v>
      </c>
      <c r="J157" s="3" t="s">
        <v>25</v>
      </c>
      <c r="K157" s="3" t="s">
        <v>25</v>
      </c>
      <c r="L157" s="3" t="s">
        <v>614</v>
      </c>
      <c r="M157" s="3" t="s">
        <v>59</v>
      </c>
    </row>
    <row r="158" spans="2:19" x14ac:dyDescent="0.2">
      <c r="B158" s="2">
        <v>43063.940754791663</v>
      </c>
      <c r="C158" s="2" t="s">
        <v>651</v>
      </c>
      <c r="D158" s="3" t="s">
        <v>617</v>
      </c>
      <c r="E158" s="3">
        <v>1981</v>
      </c>
      <c r="F158" s="3">
        <v>9840218084</v>
      </c>
      <c r="G158" s="3" t="s">
        <v>13</v>
      </c>
      <c r="H158" s="3">
        <v>1</v>
      </c>
      <c r="I158" s="3" t="s">
        <v>15</v>
      </c>
      <c r="J158" s="3" t="s">
        <v>25</v>
      </c>
      <c r="K158" s="3" t="s">
        <v>13</v>
      </c>
      <c r="L158" s="3" t="s">
        <v>618</v>
      </c>
      <c r="M158" s="3" t="s">
        <v>59</v>
      </c>
    </row>
    <row r="159" spans="2:19" x14ac:dyDescent="0.2">
      <c r="B159" s="2">
        <v>43063.949981157406</v>
      </c>
      <c r="C159" s="2" t="s">
        <v>651</v>
      </c>
      <c r="D159" s="3" t="s">
        <v>619</v>
      </c>
      <c r="E159" s="3">
        <v>1982</v>
      </c>
      <c r="F159" s="3">
        <v>9444131988</v>
      </c>
      <c r="G159" s="3" t="s">
        <v>13</v>
      </c>
      <c r="H159" s="3">
        <v>3</v>
      </c>
      <c r="I159" s="3" t="s">
        <v>620</v>
      </c>
      <c r="J159" s="3" t="s">
        <v>25</v>
      </c>
      <c r="K159" s="3" t="s">
        <v>13</v>
      </c>
      <c r="L159" s="3" t="s">
        <v>621</v>
      </c>
      <c r="M159" s="3" t="s">
        <v>59</v>
      </c>
    </row>
    <row r="160" spans="2:19" x14ac:dyDescent="0.2">
      <c r="B160" s="2">
        <v>43064.474815254631</v>
      </c>
      <c r="C160" s="2" t="s">
        <v>651</v>
      </c>
      <c r="D160" s="3" t="s">
        <v>70</v>
      </c>
      <c r="E160" s="3">
        <v>1995</v>
      </c>
      <c r="F160" s="3">
        <v>9710733174</v>
      </c>
      <c r="G160" s="3" t="s">
        <v>13</v>
      </c>
      <c r="H160" s="3" t="s">
        <v>625</v>
      </c>
      <c r="I160" s="3" t="s">
        <v>15</v>
      </c>
      <c r="J160" s="3" t="s">
        <v>13</v>
      </c>
      <c r="K160" s="3" t="s">
        <v>25</v>
      </c>
      <c r="L160" s="3" t="s">
        <v>73</v>
      </c>
      <c r="M160" s="3" t="s">
        <v>59</v>
      </c>
    </row>
    <row r="161" spans="2:19" x14ac:dyDescent="0.2">
      <c r="B161" s="2">
        <v>43064.493463715276</v>
      </c>
      <c r="C161" s="2" t="s">
        <v>651</v>
      </c>
      <c r="D161" s="3" t="s">
        <v>626</v>
      </c>
      <c r="E161" s="3">
        <v>1990</v>
      </c>
      <c r="F161" s="3">
        <v>9840200845</v>
      </c>
      <c r="G161" s="3" t="s">
        <v>13</v>
      </c>
      <c r="H161" s="3" t="s">
        <v>30</v>
      </c>
      <c r="I161" s="3" t="s">
        <v>627</v>
      </c>
      <c r="J161" s="3" t="s">
        <v>13</v>
      </c>
      <c r="K161" s="3" t="s">
        <v>13</v>
      </c>
      <c r="L161" s="3" t="s">
        <v>628</v>
      </c>
      <c r="M161" s="3" t="s">
        <v>629</v>
      </c>
      <c r="N161" s="3" t="s">
        <v>13</v>
      </c>
      <c r="O161">
        <v>1</v>
      </c>
      <c r="R161">
        <v>200</v>
      </c>
      <c r="S161">
        <v>100</v>
      </c>
    </row>
    <row r="162" spans="2:19" x14ac:dyDescent="0.2">
      <c r="B162" s="2">
        <v>43064.507259143516</v>
      </c>
      <c r="C162" s="2" t="s">
        <v>651</v>
      </c>
      <c r="D162" s="3" t="s">
        <v>630</v>
      </c>
      <c r="E162" s="3">
        <v>1979</v>
      </c>
      <c r="F162" s="3">
        <v>9884084488</v>
      </c>
      <c r="G162" s="3" t="s">
        <v>13</v>
      </c>
      <c r="H162" s="3">
        <v>1</v>
      </c>
      <c r="I162" s="3" t="s">
        <v>13</v>
      </c>
      <c r="J162" s="3" t="s">
        <v>13</v>
      </c>
      <c r="K162" s="3" t="s">
        <v>13</v>
      </c>
      <c r="L162" s="3" t="s">
        <v>631</v>
      </c>
      <c r="M162" s="3" t="s">
        <v>59</v>
      </c>
      <c r="N162" s="3" t="s">
        <v>13</v>
      </c>
      <c r="O162">
        <v>1</v>
      </c>
      <c r="Q162" s="7">
        <v>42897</v>
      </c>
      <c r="R162">
        <v>200</v>
      </c>
      <c r="S162">
        <v>100</v>
      </c>
    </row>
    <row r="163" spans="2:19" x14ac:dyDescent="0.2">
      <c r="B163" s="2">
        <v>43064.538817662033</v>
      </c>
      <c r="C163" s="2" t="s">
        <v>651</v>
      </c>
      <c r="D163" s="3" t="s">
        <v>638</v>
      </c>
      <c r="E163" s="3">
        <v>1984</v>
      </c>
      <c r="F163" s="3">
        <v>9445903770</v>
      </c>
      <c r="G163" s="3" t="s">
        <v>13</v>
      </c>
      <c r="H163" s="3" t="s">
        <v>639</v>
      </c>
      <c r="I163" s="3" t="s">
        <v>15</v>
      </c>
      <c r="J163" s="3" t="s">
        <v>25</v>
      </c>
      <c r="K163" s="3" t="s">
        <v>13</v>
      </c>
      <c r="L163" s="3" t="s">
        <v>640</v>
      </c>
      <c r="M163" s="3" t="s">
        <v>59</v>
      </c>
    </row>
    <row r="164" spans="2:19" x14ac:dyDescent="0.2">
      <c r="B164" s="2">
        <v>43064.70639821759</v>
      </c>
      <c r="C164" s="2" t="s">
        <v>651</v>
      </c>
      <c r="D164" s="3" t="s">
        <v>641</v>
      </c>
      <c r="E164" s="3">
        <v>1990</v>
      </c>
      <c r="F164" s="3">
        <v>9840556916</v>
      </c>
      <c r="G164" s="3" t="s">
        <v>13</v>
      </c>
      <c r="H164" s="3" t="s">
        <v>25</v>
      </c>
      <c r="I164" s="3" t="s">
        <v>13</v>
      </c>
      <c r="J164" s="3" t="s">
        <v>25</v>
      </c>
      <c r="K164" s="3" t="s">
        <v>13</v>
      </c>
      <c r="L164" s="3" t="s">
        <v>642</v>
      </c>
      <c r="M164" s="3" t="s">
        <v>59</v>
      </c>
      <c r="N164" s="3" t="s">
        <v>25</v>
      </c>
      <c r="O164">
        <v>1</v>
      </c>
    </row>
    <row r="165" spans="2:19" x14ac:dyDescent="0.2">
      <c r="B165" s="2">
        <v>43064.781586296296</v>
      </c>
      <c r="C165" s="2" t="s">
        <v>651</v>
      </c>
      <c r="D165" s="3" t="s">
        <v>643</v>
      </c>
      <c r="E165" s="3">
        <v>1990</v>
      </c>
      <c r="F165" s="3">
        <v>9884832397</v>
      </c>
      <c r="G165" s="3" t="s">
        <v>13</v>
      </c>
      <c r="H165" s="3">
        <v>1</v>
      </c>
      <c r="I165" s="3" t="s">
        <v>13</v>
      </c>
      <c r="J165" s="3" t="s">
        <v>13</v>
      </c>
      <c r="K165" s="3" t="s">
        <v>25</v>
      </c>
      <c r="L165" s="3" t="s">
        <v>644</v>
      </c>
      <c r="M165" s="3" t="s">
        <v>59</v>
      </c>
      <c r="N165" s="3" t="s">
        <v>13</v>
      </c>
      <c r="O165">
        <v>1</v>
      </c>
      <c r="R165">
        <v>200</v>
      </c>
      <c r="S165">
        <v>100</v>
      </c>
    </row>
    <row r="166" spans="2:19" x14ac:dyDescent="0.2">
      <c r="B166" s="2">
        <v>43064.80422982639</v>
      </c>
      <c r="C166" s="2" t="s">
        <v>651</v>
      </c>
      <c r="D166" s="3" t="s">
        <v>645</v>
      </c>
      <c r="E166" s="3">
        <v>1990</v>
      </c>
      <c r="F166" s="3">
        <v>9003270133</v>
      </c>
      <c r="G166" s="3" t="s">
        <v>13</v>
      </c>
      <c r="H166" s="3" t="s">
        <v>646</v>
      </c>
      <c r="I166" s="3">
        <v>4</v>
      </c>
      <c r="J166" s="3" t="s">
        <v>13</v>
      </c>
      <c r="K166" s="3" t="s">
        <v>13</v>
      </c>
      <c r="L166" s="3" t="s">
        <v>647</v>
      </c>
      <c r="M166" s="3" t="s">
        <v>648</v>
      </c>
      <c r="N166" s="3" t="s">
        <v>13</v>
      </c>
      <c r="O166">
        <v>3</v>
      </c>
      <c r="P166">
        <v>1</v>
      </c>
      <c r="R166">
        <f>4*200</f>
        <v>800</v>
      </c>
      <c r="S166">
        <v>100</v>
      </c>
    </row>
    <row r="167" spans="2:19" x14ac:dyDescent="0.2">
      <c r="C167" s="4" t="s">
        <v>652</v>
      </c>
      <c r="D167" t="s">
        <v>653</v>
      </c>
      <c r="E167">
        <v>1964</v>
      </c>
      <c r="F167">
        <v>919841326849</v>
      </c>
      <c r="G167" t="s">
        <v>13</v>
      </c>
      <c r="H167">
        <v>1</v>
      </c>
      <c r="I167" t="s">
        <v>141</v>
      </c>
      <c r="J167" t="s">
        <v>25</v>
      </c>
      <c r="L167" s="6" t="s">
        <v>678</v>
      </c>
      <c r="M167" t="s">
        <v>679</v>
      </c>
      <c r="N167" t="s">
        <v>13</v>
      </c>
      <c r="O167">
        <v>1</v>
      </c>
      <c r="Q167" t="s">
        <v>694</v>
      </c>
      <c r="R167">
        <v>200</v>
      </c>
      <c r="S167">
        <v>100</v>
      </c>
    </row>
    <row r="168" spans="2:19" x14ac:dyDescent="0.2">
      <c r="C168" s="4" t="s">
        <v>652</v>
      </c>
      <c r="D168" t="s">
        <v>654</v>
      </c>
      <c r="E168">
        <v>1964</v>
      </c>
      <c r="F168">
        <v>919940208512</v>
      </c>
      <c r="G168" t="s">
        <v>13</v>
      </c>
      <c r="H168">
        <v>1</v>
      </c>
      <c r="I168" t="s">
        <v>141</v>
      </c>
      <c r="J168" t="s">
        <v>25</v>
      </c>
      <c r="M168" t="s">
        <v>680</v>
      </c>
      <c r="N168" t="s">
        <v>13</v>
      </c>
      <c r="O168">
        <v>1</v>
      </c>
      <c r="Q168" t="s">
        <v>694</v>
      </c>
      <c r="R168">
        <v>200</v>
      </c>
      <c r="S168">
        <v>100</v>
      </c>
    </row>
    <row r="169" spans="2:19" x14ac:dyDescent="0.2">
      <c r="C169" s="4" t="s">
        <v>652</v>
      </c>
      <c r="D169" t="s">
        <v>655</v>
      </c>
      <c r="E169">
        <v>1964</v>
      </c>
      <c r="F169">
        <v>919840155520</v>
      </c>
      <c r="G169" t="s">
        <v>13</v>
      </c>
      <c r="H169">
        <v>1</v>
      </c>
      <c r="I169" t="s">
        <v>141</v>
      </c>
      <c r="J169" t="s">
        <v>25</v>
      </c>
      <c r="M169" t="s">
        <v>681</v>
      </c>
      <c r="N169" t="s">
        <v>13</v>
      </c>
      <c r="O169">
        <v>1</v>
      </c>
      <c r="Q169" t="s">
        <v>694</v>
      </c>
      <c r="R169">
        <v>200</v>
      </c>
      <c r="S169">
        <v>100</v>
      </c>
    </row>
    <row r="170" spans="2:19" x14ac:dyDescent="0.2">
      <c r="C170" s="4" t="s">
        <v>652</v>
      </c>
      <c r="D170" t="s">
        <v>656</v>
      </c>
      <c r="E170">
        <v>1975</v>
      </c>
      <c r="F170">
        <v>919840453668</v>
      </c>
      <c r="G170" t="s">
        <v>13</v>
      </c>
      <c r="H170">
        <v>2</v>
      </c>
      <c r="I170" t="s">
        <v>682</v>
      </c>
      <c r="J170" t="s">
        <v>13</v>
      </c>
      <c r="K170" t="s">
        <v>25</v>
      </c>
      <c r="L170" s="6" t="s">
        <v>683</v>
      </c>
      <c r="M170" t="s">
        <v>684</v>
      </c>
      <c r="N170" t="s">
        <v>13</v>
      </c>
      <c r="O170">
        <v>2</v>
      </c>
      <c r="Q170" t="s">
        <v>694</v>
      </c>
      <c r="R170">
        <v>400</v>
      </c>
      <c r="S170">
        <v>100</v>
      </c>
    </row>
    <row r="171" spans="2:19" x14ac:dyDescent="0.2">
      <c r="C171" s="4" t="s">
        <v>652</v>
      </c>
      <c r="D171" t="s">
        <v>657</v>
      </c>
      <c r="E171">
        <v>1993</v>
      </c>
      <c r="G171" t="s">
        <v>13</v>
      </c>
      <c r="H171">
        <v>1</v>
      </c>
      <c r="I171" t="s">
        <v>141</v>
      </c>
      <c r="J171" t="s">
        <v>25</v>
      </c>
      <c r="K171" t="s">
        <v>25</v>
      </c>
      <c r="M171" t="s">
        <v>685</v>
      </c>
      <c r="N171" t="s">
        <v>13</v>
      </c>
      <c r="O171">
        <v>1</v>
      </c>
      <c r="Q171" t="s">
        <v>694</v>
      </c>
      <c r="R171">
        <v>200</v>
      </c>
      <c r="S171">
        <v>100</v>
      </c>
    </row>
    <row r="172" spans="2:19" x14ac:dyDescent="0.2">
      <c r="C172" s="4" t="s">
        <v>652</v>
      </c>
      <c r="D172" s="4" t="s">
        <v>658</v>
      </c>
      <c r="E172">
        <v>1993</v>
      </c>
      <c r="G172" t="s">
        <v>13</v>
      </c>
      <c r="H172">
        <v>1</v>
      </c>
      <c r="I172" t="s">
        <v>141</v>
      </c>
      <c r="J172" s="4" t="s">
        <v>13</v>
      </c>
      <c r="K172" s="4" t="s">
        <v>13</v>
      </c>
      <c r="N172" t="s">
        <v>13</v>
      </c>
      <c r="O172">
        <v>1</v>
      </c>
      <c r="Q172" s="4" t="s">
        <v>695</v>
      </c>
      <c r="R172">
        <v>200</v>
      </c>
      <c r="S172">
        <v>100</v>
      </c>
    </row>
    <row r="173" spans="2:19" ht="25.5" x14ac:dyDescent="0.2">
      <c r="C173" s="4" t="s">
        <v>652</v>
      </c>
      <c r="D173" s="5" t="s">
        <v>659</v>
      </c>
      <c r="E173">
        <v>1970</v>
      </c>
      <c r="G173" s="4" t="s">
        <v>13</v>
      </c>
      <c r="H173">
        <v>2</v>
      </c>
      <c r="I173" t="s">
        <v>141</v>
      </c>
      <c r="J173" s="4" t="s">
        <v>25</v>
      </c>
      <c r="K173" s="4" t="s">
        <v>25</v>
      </c>
      <c r="N173" s="4" t="s">
        <v>13</v>
      </c>
      <c r="O173">
        <v>2</v>
      </c>
      <c r="P173" s="4"/>
      <c r="Q173" s="4" t="s">
        <v>695</v>
      </c>
      <c r="R173">
        <v>200</v>
      </c>
      <c r="S173">
        <v>100</v>
      </c>
    </row>
    <row r="174" spans="2:19" x14ac:dyDescent="0.2">
      <c r="C174" s="4" t="s">
        <v>652</v>
      </c>
      <c r="D174" s="4" t="s">
        <v>660</v>
      </c>
      <c r="E174">
        <v>2003</v>
      </c>
      <c r="G174" s="4" t="s">
        <v>13</v>
      </c>
      <c r="H174">
        <v>2</v>
      </c>
      <c r="I174" t="s">
        <v>141</v>
      </c>
      <c r="J174" s="4" t="s">
        <v>25</v>
      </c>
      <c r="K174" s="4" t="s">
        <v>25</v>
      </c>
      <c r="N174" s="4" t="s">
        <v>13</v>
      </c>
      <c r="O174">
        <v>2</v>
      </c>
      <c r="Q174" s="4" t="s">
        <v>695</v>
      </c>
      <c r="R174">
        <v>200</v>
      </c>
      <c r="S174">
        <v>100</v>
      </c>
    </row>
    <row r="175" spans="2:19" x14ac:dyDescent="0.2">
      <c r="C175" s="4" t="s">
        <v>652</v>
      </c>
      <c r="D175" s="4" t="s">
        <v>661</v>
      </c>
      <c r="E175">
        <v>2007</v>
      </c>
      <c r="G175" s="4" t="s">
        <v>13</v>
      </c>
      <c r="H175">
        <v>2</v>
      </c>
      <c r="I175" t="s">
        <v>141</v>
      </c>
      <c r="J175" s="4" t="s">
        <v>25</v>
      </c>
      <c r="K175" s="4" t="s">
        <v>25</v>
      </c>
      <c r="N175" s="4" t="s">
        <v>13</v>
      </c>
      <c r="O175">
        <v>2</v>
      </c>
      <c r="Q175" s="4" t="s">
        <v>695</v>
      </c>
      <c r="R175">
        <v>400</v>
      </c>
      <c r="S175">
        <v>100</v>
      </c>
    </row>
    <row r="176" spans="2:19" x14ac:dyDescent="0.2">
      <c r="C176" s="4" t="s">
        <v>652</v>
      </c>
      <c r="D176" s="4" t="s">
        <v>662</v>
      </c>
      <c r="G176" s="4" t="s">
        <v>13</v>
      </c>
      <c r="H176">
        <v>2</v>
      </c>
      <c r="I176" t="s">
        <v>141</v>
      </c>
      <c r="J176" s="4" t="s">
        <v>25</v>
      </c>
      <c r="K176" s="4" t="s">
        <v>25</v>
      </c>
      <c r="N176" s="4" t="s">
        <v>13</v>
      </c>
      <c r="O176">
        <v>2</v>
      </c>
      <c r="Q176" s="4" t="s">
        <v>695</v>
      </c>
      <c r="R176">
        <v>200</v>
      </c>
      <c r="S176">
        <v>100</v>
      </c>
    </row>
    <row r="177" spans="3:19" x14ac:dyDescent="0.2">
      <c r="C177" s="4" t="s">
        <v>652</v>
      </c>
      <c r="D177" s="4" t="s">
        <v>663</v>
      </c>
      <c r="G177" s="4" t="s">
        <v>13</v>
      </c>
      <c r="H177">
        <v>1</v>
      </c>
      <c r="I177" t="s">
        <v>141</v>
      </c>
      <c r="J177" s="4" t="s">
        <v>25</v>
      </c>
      <c r="K177" s="4" t="s">
        <v>25</v>
      </c>
      <c r="N177" s="4" t="s">
        <v>13</v>
      </c>
      <c r="O177">
        <v>1</v>
      </c>
      <c r="Q177" s="4" t="s">
        <v>695</v>
      </c>
      <c r="R177">
        <v>200</v>
      </c>
    </row>
    <row r="178" spans="3:19" x14ac:dyDescent="0.2">
      <c r="C178" s="4" t="s">
        <v>652</v>
      </c>
      <c r="D178" s="4" t="s">
        <v>664</v>
      </c>
      <c r="E178">
        <v>1970</v>
      </c>
      <c r="G178" s="4" t="s">
        <v>13</v>
      </c>
      <c r="H178">
        <v>1</v>
      </c>
      <c r="I178" t="s">
        <v>141</v>
      </c>
      <c r="J178" s="4" t="s">
        <v>25</v>
      </c>
      <c r="K178" s="4" t="s">
        <v>25</v>
      </c>
      <c r="N178" s="4" t="s">
        <v>13</v>
      </c>
      <c r="O178">
        <v>1</v>
      </c>
      <c r="Q178" s="4" t="s">
        <v>695</v>
      </c>
      <c r="R178">
        <v>200</v>
      </c>
    </row>
    <row r="179" spans="3:19" x14ac:dyDescent="0.2">
      <c r="C179" s="4" t="s">
        <v>652</v>
      </c>
      <c r="D179" s="4" t="s">
        <v>665</v>
      </c>
      <c r="E179">
        <v>1980</v>
      </c>
      <c r="G179" s="4" t="s">
        <v>13</v>
      </c>
      <c r="H179">
        <v>1</v>
      </c>
      <c r="I179" t="s">
        <v>141</v>
      </c>
      <c r="J179" s="4" t="s">
        <v>25</v>
      </c>
      <c r="K179" s="4" t="s">
        <v>25</v>
      </c>
      <c r="N179" s="4" t="s">
        <v>13</v>
      </c>
      <c r="O179">
        <v>1</v>
      </c>
      <c r="Q179" s="4" t="s">
        <v>695</v>
      </c>
      <c r="R179">
        <v>200</v>
      </c>
      <c r="S179">
        <v>100</v>
      </c>
    </row>
    <row r="180" spans="3:19" x14ac:dyDescent="0.2">
      <c r="C180" s="4" t="s">
        <v>652</v>
      </c>
      <c r="D180" s="4" t="s">
        <v>666</v>
      </c>
      <c r="E180">
        <v>1981</v>
      </c>
      <c r="G180" s="4" t="s">
        <v>13</v>
      </c>
      <c r="H180">
        <v>1</v>
      </c>
      <c r="I180" t="s">
        <v>141</v>
      </c>
      <c r="J180" s="4" t="s">
        <v>25</v>
      </c>
      <c r="K180" s="4" t="s">
        <v>25</v>
      </c>
      <c r="N180" s="4" t="s">
        <v>13</v>
      </c>
      <c r="O180">
        <v>1</v>
      </c>
      <c r="Q180" s="4" t="s">
        <v>695</v>
      </c>
      <c r="R180">
        <v>200</v>
      </c>
      <c r="S180">
        <v>100</v>
      </c>
    </row>
    <row r="181" spans="3:19" x14ac:dyDescent="0.2">
      <c r="C181" s="4" t="s">
        <v>652</v>
      </c>
      <c r="D181" s="4" t="s">
        <v>667</v>
      </c>
      <c r="E181">
        <v>1980</v>
      </c>
      <c r="G181" s="4" t="s">
        <v>13</v>
      </c>
      <c r="H181">
        <v>1</v>
      </c>
      <c r="I181" t="s">
        <v>141</v>
      </c>
      <c r="J181" s="4" t="s">
        <v>25</v>
      </c>
      <c r="K181" s="4" t="s">
        <v>25</v>
      </c>
      <c r="N181" s="4" t="s">
        <v>13</v>
      </c>
      <c r="O181">
        <v>1</v>
      </c>
      <c r="Q181" s="4" t="s">
        <v>695</v>
      </c>
      <c r="R181">
        <v>200</v>
      </c>
      <c r="S181">
        <v>100</v>
      </c>
    </row>
    <row r="182" spans="3:19" x14ac:dyDescent="0.2">
      <c r="C182" s="4" t="s">
        <v>652</v>
      </c>
      <c r="D182" s="4" t="s">
        <v>668</v>
      </c>
      <c r="E182">
        <v>1988</v>
      </c>
      <c r="G182" s="4" t="s">
        <v>13</v>
      </c>
      <c r="H182">
        <v>1</v>
      </c>
      <c r="I182" t="s">
        <v>141</v>
      </c>
      <c r="J182" s="4" t="s">
        <v>25</v>
      </c>
      <c r="K182" s="4" t="s">
        <v>25</v>
      </c>
      <c r="N182" s="4" t="s">
        <v>13</v>
      </c>
      <c r="O182">
        <v>1</v>
      </c>
      <c r="Q182" s="4" t="s">
        <v>695</v>
      </c>
      <c r="R182">
        <v>200</v>
      </c>
      <c r="S182">
        <v>100</v>
      </c>
    </row>
    <row r="183" spans="3:19" x14ac:dyDescent="0.2">
      <c r="C183" s="4" t="s">
        <v>652</v>
      </c>
      <c r="D183" s="4" t="s">
        <v>669</v>
      </c>
      <c r="E183">
        <v>1987</v>
      </c>
      <c r="G183" s="4" t="s">
        <v>13</v>
      </c>
      <c r="H183">
        <v>1</v>
      </c>
      <c r="I183" t="s">
        <v>141</v>
      </c>
      <c r="J183" s="4" t="s">
        <v>25</v>
      </c>
      <c r="K183" s="4" t="s">
        <v>25</v>
      </c>
      <c r="N183" s="4" t="s">
        <v>13</v>
      </c>
      <c r="O183">
        <v>1</v>
      </c>
      <c r="Q183" s="4" t="s">
        <v>695</v>
      </c>
      <c r="R183">
        <v>200</v>
      </c>
      <c r="S183">
        <v>100</v>
      </c>
    </row>
    <row r="184" spans="3:19" x14ac:dyDescent="0.2">
      <c r="C184" s="4" t="s">
        <v>652</v>
      </c>
      <c r="D184" s="4" t="s">
        <v>670</v>
      </c>
      <c r="E184">
        <v>1987</v>
      </c>
      <c r="G184" s="4" t="s">
        <v>13</v>
      </c>
      <c r="H184">
        <v>1</v>
      </c>
      <c r="I184" t="s">
        <v>141</v>
      </c>
      <c r="J184" s="4" t="s">
        <v>25</v>
      </c>
      <c r="K184" s="4" t="s">
        <v>25</v>
      </c>
      <c r="N184" s="4" t="s">
        <v>13</v>
      </c>
      <c r="O184">
        <v>1</v>
      </c>
      <c r="Q184" s="4" t="s">
        <v>695</v>
      </c>
      <c r="R184">
        <v>200</v>
      </c>
      <c r="S184">
        <v>100</v>
      </c>
    </row>
    <row r="185" spans="3:19" x14ac:dyDescent="0.2">
      <c r="C185" s="4" t="s">
        <v>652</v>
      </c>
      <c r="D185" s="4" t="s">
        <v>671</v>
      </c>
      <c r="E185">
        <v>1987</v>
      </c>
      <c r="G185" s="4" t="s">
        <v>13</v>
      </c>
      <c r="H185">
        <v>1</v>
      </c>
      <c r="I185" t="s">
        <v>141</v>
      </c>
      <c r="J185" s="4" t="s">
        <v>25</v>
      </c>
      <c r="K185" s="4" t="s">
        <v>25</v>
      </c>
      <c r="N185" s="4" t="s">
        <v>13</v>
      </c>
      <c r="O185">
        <v>1</v>
      </c>
      <c r="Q185" s="4" t="s">
        <v>695</v>
      </c>
      <c r="R185">
        <v>200</v>
      </c>
      <c r="S185">
        <v>100</v>
      </c>
    </row>
    <row r="186" spans="3:19" x14ac:dyDescent="0.2">
      <c r="C186" s="4" t="s">
        <v>652</v>
      </c>
      <c r="D186" s="4" t="s">
        <v>269</v>
      </c>
      <c r="E186">
        <v>1976</v>
      </c>
      <c r="G186" s="4" t="s">
        <v>13</v>
      </c>
      <c r="H186">
        <v>1</v>
      </c>
      <c r="I186" s="4" t="s">
        <v>15</v>
      </c>
      <c r="J186" s="4" t="s">
        <v>25</v>
      </c>
      <c r="K186" s="4" t="s">
        <v>25</v>
      </c>
      <c r="N186" s="4" t="s">
        <v>13</v>
      </c>
      <c r="O186">
        <v>1</v>
      </c>
      <c r="Q186" s="4" t="s">
        <v>696</v>
      </c>
      <c r="R186">
        <v>200</v>
      </c>
      <c r="S186">
        <v>100</v>
      </c>
    </row>
    <row r="187" spans="3:19" x14ac:dyDescent="0.2">
      <c r="C187" s="4" t="s">
        <v>652</v>
      </c>
      <c r="D187" s="4" t="s">
        <v>672</v>
      </c>
      <c r="E187">
        <v>1964</v>
      </c>
      <c r="G187" s="4" t="s">
        <v>13</v>
      </c>
      <c r="H187">
        <v>1</v>
      </c>
      <c r="I187" t="s">
        <v>141</v>
      </c>
      <c r="J187" s="4" t="s">
        <v>25</v>
      </c>
      <c r="K187" s="4" t="s">
        <v>25</v>
      </c>
      <c r="N187" s="4" t="s">
        <v>13</v>
      </c>
      <c r="O187">
        <v>1</v>
      </c>
      <c r="Q187" s="4" t="s">
        <v>696</v>
      </c>
      <c r="R187">
        <v>200</v>
      </c>
      <c r="S187">
        <v>100</v>
      </c>
    </row>
    <row r="188" spans="3:19" x14ac:dyDescent="0.2">
      <c r="C188" s="4" t="s">
        <v>652</v>
      </c>
      <c r="D188" s="4" t="s">
        <v>673</v>
      </c>
      <c r="E188">
        <v>1970</v>
      </c>
      <c r="G188" s="4" t="s">
        <v>13</v>
      </c>
      <c r="H188">
        <v>1</v>
      </c>
      <c r="I188" t="s">
        <v>141</v>
      </c>
      <c r="J188" s="4" t="s">
        <v>25</v>
      </c>
      <c r="K188" s="4" t="s">
        <v>25</v>
      </c>
      <c r="N188" s="4" t="s">
        <v>13</v>
      </c>
      <c r="O188">
        <v>1</v>
      </c>
      <c r="Q188" s="4" t="s">
        <v>696</v>
      </c>
      <c r="R188">
        <v>200</v>
      </c>
      <c r="S188">
        <v>100</v>
      </c>
    </row>
    <row r="189" spans="3:19" x14ac:dyDescent="0.2">
      <c r="C189" s="4" t="s">
        <v>652</v>
      </c>
      <c r="D189" s="4" t="s">
        <v>674</v>
      </c>
      <c r="E189">
        <v>1992</v>
      </c>
      <c r="F189">
        <v>8610369090</v>
      </c>
      <c r="G189" s="4" t="s">
        <v>579</v>
      </c>
      <c r="H189">
        <v>2</v>
      </c>
      <c r="I189" t="s">
        <v>141</v>
      </c>
      <c r="J189" s="4" t="s">
        <v>25</v>
      </c>
      <c r="K189" s="4" t="s">
        <v>25</v>
      </c>
      <c r="M189" s="4" t="s">
        <v>686</v>
      </c>
      <c r="N189" s="4" t="s">
        <v>13</v>
      </c>
      <c r="O189">
        <v>2</v>
      </c>
      <c r="Q189" s="4" t="s">
        <v>696</v>
      </c>
      <c r="R189">
        <v>400</v>
      </c>
      <c r="S189">
        <v>100</v>
      </c>
    </row>
    <row r="190" spans="3:19" x14ac:dyDescent="0.2">
      <c r="C190" s="4" t="s">
        <v>652</v>
      </c>
      <c r="D190" s="4" t="s">
        <v>675</v>
      </c>
      <c r="G190" s="4" t="s">
        <v>13</v>
      </c>
      <c r="H190">
        <v>1</v>
      </c>
      <c r="I190" t="s">
        <v>141</v>
      </c>
      <c r="J190" s="4" t="s">
        <v>25</v>
      </c>
      <c r="K190" s="4" t="s">
        <v>25</v>
      </c>
      <c r="M190" s="4" t="s">
        <v>59</v>
      </c>
      <c r="N190" s="4" t="s">
        <v>13</v>
      </c>
      <c r="O190">
        <v>1</v>
      </c>
      <c r="Q190" s="4" t="s">
        <v>697</v>
      </c>
      <c r="R190">
        <v>200</v>
      </c>
      <c r="S190">
        <v>100</v>
      </c>
    </row>
    <row r="191" spans="3:19" x14ac:dyDescent="0.2">
      <c r="C191" s="4" t="s">
        <v>652</v>
      </c>
      <c r="D191" s="4" t="s">
        <v>676</v>
      </c>
      <c r="E191">
        <v>1965</v>
      </c>
      <c r="F191">
        <v>9884197975</v>
      </c>
      <c r="G191" s="4" t="s">
        <v>13</v>
      </c>
      <c r="H191">
        <v>1</v>
      </c>
      <c r="I191" t="s">
        <v>141</v>
      </c>
      <c r="J191" s="4" t="s">
        <v>25</v>
      </c>
      <c r="K191" s="4" t="s">
        <v>25</v>
      </c>
      <c r="M191" s="4" t="s">
        <v>59</v>
      </c>
      <c r="N191" s="4" t="s">
        <v>13</v>
      </c>
      <c r="O191">
        <v>1</v>
      </c>
      <c r="Q191" s="4" t="s">
        <v>697</v>
      </c>
      <c r="R191">
        <v>200</v>
      </c>
      <c r="S191">
        <v>100</v>
      </c>
    </row>
    <row r="192" spans="3:19" x14ac:dyDescent="0.2">
      <c r="C192" s="4" t="s">
        <v>652</v>
      </c>
      <c r="D192" s="4" t="s">
        <v>677</v>
      </c>
      <c r="E192">
        <v>1964</v>
      </c>
      <c r="F192">
        <v>9962291947</v>
      </c>
      <c r="G192" s="4" t="s">
        <v>13</v>
      </c>
      <c r="H192">
        <v>1</v>
      </c>
      <c r="I192" t="s">
        <v>141</v>
      </c>
      <c r="J192" s="4" t="s">
        <v>25</v>
      </c>
      <c r="K192" s="4" t="s">
        <v>25</v>
      </c>
      <c r="M192" s="4" t="s">
        <v>59</v>
      </c>
      <c r="N192" s="4" t="s">
        <v>13</v>
      </c>
      <c r="O192">
        <v>1</v>
      </c>
      <c r="Q192" s="4" t="s">
        <v>697</v>
      </c>
      <c r="R192">
        <v>200</v>
      </c>
      <c r="S192">
        <v>100</v>
      </c>
    </row>
    <row r="193" spans="3:19" x14ac:dyDescent="0.2">
      <c r="C193" s="4" t="s">
        <v>652</v>
      </c>
      <c r="D193" s="4" t="s">
        <v>699</v>
      </c>
      <c r="E193">
        <v>1992</v>
      </c>
      <c r="G193" s="4" t="s">
        <v>25</v>
      </c>
      <c r="N193" s="4" t="s">
        <v>13</v>
      </c>
      <c r="S193">
        <v>100</v>
      </c>
    </row>
    <row r="194" spans="3:19" x14ac:dyDescent="0.2">
      <c r="C194" s="4" t="s">
        <v>652</v>
      </c>
      <c r="D194" s="4" t="s">
        <v>700</v>
      </c>
      <c r="E194">
        <v>1992</v>
      </c>
      <c r="G194" s="4" t="s">
        <v>25</v>
      </c>
      <c r="N194" s="4" t="s">
        <v>13</v>
      </c>
      <c r="S194">
        <v>100</v>
      </c>
    </row>
    <row r="195" spans="3:19" x14ac:dyDescent="0.2">
      <c r="C195" s="4" t="s">
        <v>652</v>
      </c>
      <c r="D195" s="4" t="s">
        <v>701</v>
      </c>
      <c r="E195">
        <v>1992</v>
      </c>
      <c r="G195" s="4" t="s">
        <v>25</v>
      </c>
      <c r="N195" s="4" t="s">
        <v>13</v>
      </c>
      <c r="S195">
        <v>100</v>
      </c>
    </row>
    <row r="196" spans="3:19" x14ac:dyDescent="0.2">
      <c r="C196" s="4" t="s">
        <v>652</v>
      </c>
      <c r="D196" s="4" t="s">
        <v>702</v>
      </c>
      <c r="E196">
        <v>1992</v>
      </c>
      <c r="G196" s="4" t="s">
        <v>25</v>
      </c>
      <c r="N196" s="4" t="s">
        <v>13</v>
      </c>
      <c r="S196">
        <v>100</v>
      </c>
    </row>
    <row r="197" spans="3:19" x14ac:dyDescent="0.2">
      <c r="C197" s="4" t="s">
        <v>652</v>
      </c>
      <c r="D197" s="4" t="s">
        <v>703</v>
      </c>
      <c r="E197">
        <v>1992</v>
      </c>
      <c r="G197" s="4" t="s">
        <v>25</v>
      </c>
      <c r="N197" s="4" t="s">
        <v>13</v>
      </c>
      <c r="S197">
        <v>100</v>
      </c>
    </row>
    <row r="198" spans="3:19" x14ac:dyDescent="0.2">
      <c r="C198" s="4" t="s">
        <v>652</v>
      </c>
      <c r="D198" s="4" t="s">
        <v>704</v>
      </c>
      <c r="E198">
        <v>1992</v>
      </c>
      <c r="G198" s="4" t="s">
        <v>25</v>
      </c>
      <c r="N198" s="4" t="s">
        <v>13</v>
      </c>
      <c r="S198">
        <v>100</v>
      </c>
    </row>
    <row r="199" spans="3:19" x14ac:dyDescent="0.2">
      <c r="C199" s="4" t="s">
        <v>652</v>
      </c>
      <c r="D199" s="4" t="s">
        <v>705</v>
      </c>
      <c r="E199">
        <v>1992</v>
      </c>
      <c r="G199" s="4" t="s">
        <v>25</v>
      </c>
      <c r="N199" s="4" t="s">
        <v>13</v>
      </c>
      <c r="S199">
        <v>100</v>
      </c>
    </row>
    <row r="200" spans="3:19" x14ac:dyDescent="0.2">
      <c r="C200" s="4" t="s">
        <v>652</v>
      </c>
      <c r="D200" s="4" t="s">
        <v>706</v>
      </c>
      <c r="E200">
        <v>1992</v>
      </c>
      <c r="G200" s="4" t="s">
        <v>25</v>
      </c>
      <c r="N200" s="4" t="s">
        <v>13</v>
      </c>
    </row>
    <row r="201" spans="3:19" x14ac:dyDescent="0.2">
      <c r="C201" s="4" t="s">
        <v>652</v>
      </c>
      <c r="D201" s="4" t="s">
        <v>707</v>
      </c>
      <c r="E201">
        <v>1992</v>
      </c>
      <c r="G201" s="4" t="s">
        <v>25</v>
      </c>
      <c r="N201" s="4" t="s">
        <v>13</v>
      </c>
      <c r="S201">
        <v>100</v>
      </c>
    </row>
    <row r="202" spans="3:19" x14ac:dyDescent="0.2">
      <c r="C202" s="4" t="s">
        <v>652</v>
      </c>
      <c r="D202" s="4" t="s">
        <v>709</v>
      </c>
      <c r="E202">
        <v>1992</v>
      </c>
      <c r="G202" s="4" t="s">
        <v>25</v>
      </c>
      <c r="N202" s="4" t="s">
        <v>13</v>
      </c>
      <c r="S202">
        <v>100</v>
      </c>
    </row>
    <row r="203" spans="3:19" x14ac:dyDescent="0.2">
      <c r="C203" s="4" t="s">
        <v>652</v>
      </c>
      <c r="D203" s="4" t="s">
        <v>708</v>
      </c>
      <c r="E203">
        <v>1992</v>
      </c>
      <c r="G203" s="4" t="s">
        <v>25</v>
      </c>
      <c r="N203" s="4" t="s">
        <v>13</v>
      </c>
      <c r="S203">
        <v>100</v>
      </c>
    </row>
    <row r="204" spans="3:19" x14ac:dyDescent="0.2">
      <c r="C204" s="4" t="s">
        <v>652</v>
      </c>
      <c r="D204" s="4" t="s">
        <v>710</v>
      </c>
      <c r="E204">
        <v>1992</v>
      </c>
      <c r="G204" s="4" t="s">
        <v>25</v>
      </c>
      <c r="N204" s="4" t="s">
        <v>13</v>
      </c>
      <c r="S204">
        <v>100</v>
      </c>
    </row>
    <row r="205" spans="3:19" x14ac:dyDescent="0.2">
      <c r="C205" s="4" t="s">
        <v>652</v>
      </c>
      <c r="D205" s="4" t="s">
        <v>711</v>
      </c>
      <c r="E205">
        <v>1992</v>
      </c>
      <c r="G205" s="4" t="s">
        <v>25</v>
      </c>
      <c r="N205" s="4" t="s">
        <v>13</v>
      </c>
      <c r="S205">
        <v>100</v>
      </c>
    </row>
    <row r="206" spans="3:19" x14ac:dyDescent="0.2">
      <c r="C206" s="4" t="s">
        <v>652</v>
      </c>
      <c r="D206" s="4" t="s">
        <v>712</v>
      </c>
      <c r="E206">
        <v>1992</v>
      </c>
      <c r="G206" s="4" t="s">
        <v>25</v>
      </c>
      <c r="N206" s="4" t="s">
        <v>13</v>
      </c>
      <c r="S206">
        <v>100</v>
      </c>
    </row>
    <row r="207" spans="3:19" x14ac:dyDescent="0.2">
      <c r="C207" s="4" t="s">
        <v>652</v>
      </c>
      <c r="D207" s="4" t="s">
        <v>713</v>
      </c>
      <c r="E207">
        <v>1992</v>
      </c>
      <c r="G207" s="4" t="s">
        <v>25</v>
      </c>
      <c r="N207" s="4" t="s">
        <v>13</v>
      </c>
    </row>
    <row r="208" spans="3:19" x14ac:dyDescent="0.2">
      <c r="C208" s="4" t="s">
        <v>652</v>
      </c>
      <c r="D208" s="4" t="s">
        <v>714</v>
      </c>
      <c r="E208">
        <v>1992</v>
      </c>
      <c r="G208" s="4" t="s">
        <v>13</v>
      </c>
      <c r="N208" s="4" t="s">
        <v>13</v>
      </c>
      <c r="O208">
        <v>1</v>
      </c>
      <c r="R208">
        <v>200</v>
      </c>
      <c r="S208">
        <v>100</v>
      </c>
    </row>
    <row r="209" spans="2:19" x14ac:dyDescent="0.2">
      <c r="C209" s="4" t="s">
        <v>652</v>
      </c>
      <c r="D209" s="4" t="s">
        <v>715</v>
      </c>
      <c r="E209">
        <v>1992</v>
      </c>
      <c r="G209" s="4" t="s">
        <v>25</v>
      </c>
      <c r="N209" s="4" t="s">
        <v>13</v>
      </c>
    </row>
    <row r="210" spans="2:19" x14ac:dyDescent="0.2">
      <c r="C210" s="4" t="s">
        <v>652</v>
      </c>
      <c r="D210" s="4" t="s">
        <v>716</v>
      </c>
      <c r="E210">
        <v>1992</v>
      </c>
      <c r="G210" s="4" t="s">
        <v>25</v>
      </c>
      <c r="N210" s="4" t="s">
        <v>13</v>
      </c>
    </row>
    <row r="211" spans="2:19" x14ac:dyDescent="0.2">
      <c r="C211" s="4" t="s">
        <v>652</v>
      </c>
      <c r="D211" s="4" t="s">
        <v>717</v>
      </c>
      <c r="E211">
        <v>1992</v>
      </c>
      <c r="G211" s="4" t="s">
        <v>25</v>
      </c>
      <c r="N211" s="4" t="s">
        <v>13</v>
      </c>
    </row>
    <row r="212" spans="2:19" x14ac:dyDescent="0.2">
      <c r="C212" s="4" t="s">
        <v>652</v>
      </c>
      <c r="D212" s="4" t="s">
        <v>718</v>
      </c>
      <c r="E212">
        <v>1992</v>
      </c>
      <c r="G212" s="4" t="s">
        <v>25</v>
      </c>
      <c r="N212" s="4" t="s">
        <v>13</v>
      </c>
      <c r="S212">
        <v>100</v>
      </c>
    </row>
    <row r="213" spans="2:19" x14ac:dyDescent="0.2">
      <c r="C213" s="4" t="s">
        <v>652</v>
      </c>
      <c r="D213" s="4" t="s">
        <v>719</v>
      </c>
      <c r="E213">
        <v>1992</v>
      </c>
      <c r="G213" s="4" t="s">
        <v>25</v>
      </c>
      <c r="N213" s="4" t="s">
        <v>13</v>
      </c>
    </row>
    <row r="214" spans="2:19" x14ac:dyDescent="0.2">
      <c r="C214" s="4" t="s">
        <v>652</v>
      </c>
      <c r="D214" s="4" t="s">
        <v>720</v>
      </c>
      <c r="E214">
        <v>1992</v>
      </c>
      <c r="G214" s="4" t="s">
        <v>25</v>
      </c>
      <c r="N214" s="4" t="s">
        <v>13</v>
      </c>
      <c r="S214">
        <v>100</v>
      </c>
    </row>
    <row r="215" spans="2:19" x14ac:dyDescent="0.2">
      <c r="C215" s="4" t="s">
        <v>652</v>
      </c>
      <c r="D215" s="4" t="s">
        <v>721</v>
      </c>
      <c r="E215">
        <v>1992</v>
      </c>
      <c r="G215" s="4" t="s">
        <v>25</v>
      </c>
      <c r="N215" s="4" t="s">
        <v>13</v>
      </c>
    </row>
    <row r="216" spans="2:19" x14ac:dyDescent="0.2">
      <c r="C216" s="4" t="s">
        <v>652</v>
      </c>
      <c r="D216" s="4" t="s">
        <v>722</v>
      </c>
      <c r="E216">
        <v>1975</v>
      </c>
      <c r="G216" s="4" t="s">
        <v>13</v>
      </c>
      <c r="H216">
        <v>1</v>
      </c>
      <c r="I216" t="s">
        <v>141</v>
      </c>
      <c r="J216" t="s">
        <v>13</v>
      </c>
      <c r="K216" t="s">
        <v>13</v>
      </c>
      <c r="M216" t="s">
        <v>59</v>
      </c>
      <c r="N216" s="4" t="s">
        <v>13</v>
      </c>
      <c r="O216">
        <v>1</v>
      </c>
      <c r="R216">
        <v>200</v>
      </c>
      <c r="S216">
        <v>100</v>
      </c>
    </row>
    <row r="217" spans="2:19" x14ac:dyDescent="0.2">
      <c r="C217" s="4" t="s">
        <v>652</v>
      </c>
      <c r="D217" t="s">
        <v>527</v>
      </c>
      <c r="E217">
        <v>1961</v>
      </c>
      <c r="G217" s="4" t="s">
        <v>13</v>
      </c>
      <c r="H217">
        <v>1</v>
      </c>
      <c r="I217" t="s">
        <v>141</v>
      </c>
      <c r="J217" t="s">
        <v>13</v>
      </c>
      <c r="K217" t="s">
        <v>13</v>
      </c>
      <c r="N217" s="4" t="s">
        <v>13</v>
      </c>
      <c r="O217">
        <v>1</v>
      </c>
      <c r="R217">
        <v>200</v>
      </c>
      <c r="S217">
        <v>100</v>
      </c>
    </row>
    <row r="218" spans="2:19" x14ac:dyDescent="0.2">
      <c r="B218" s="7">
        <v>43050</v>
      </c>
      <c r="C218" s="4" t="s">
        <v>652</v>
      </c>
      <c r="D218" t="s">
        <v>727</v>
      </c>
      <c r="E218">
        <v>1985</v>
      </c>
      <c r="G218" s="4" t="s">
        <v>13</v>
      </c>
      <c r="H218">
        <v>1</v>
      </c>
      <c r="I218" t="s">
        <v>141</v>
      </c>
      <c r="J218" t="s">
        <v>13</v>
      </c>
      <c r="K218" t="s">
        <v>13</v>
      </c>
      <c r="N218" s="4" t="s">
        <v>13</v>
      </c>
      <c r="O218">
        <v>1</v>
      </c>
      <c r="R218">
        <v>200</v>
      </c>
      <c r="S218">
        <v>100</v>
      </c>
    </row>
    <row r="219" spans="2:19" x14ac:dyDescent="0.2">
      <c r="B219" s="7">
        <v>43050</v>
      </c>
      <c r="C219" s="4" t="s">
        <v>652</v>
      </c>
      <c r="D219" t="s">
        <v>728</v>
      </c>
      <c r="E219">
        <v>1985</v>
      </c>
      <c r="G219" s="4" t="s">
        <v>13</v>
      </c>
      <c r="H219">
        <v>1</v>
      </c>
      <c r="I219" t="s">
        <v>141</v>
      </c>
      <c r="J219" t="s">
        <v>13</v>
      </c>
      <c r="K219" t="s">
        <v>13</v>
      </c>
      <c r="N219" s="4" t="s">
        <v>13</v>
      </c>
      <c r="O219">
        <v>1</v>
      </c>
      <c r="R219">
        <v>200</v>
      </c>
      <c r="S219">
        <v>100</v>
      </c>
    </row>
    <row r="220" spans="2:19" x14ac:dyDescent="0.2">
      <c r="B220" s="7">
        <v>43050</v>
      </c>
      <c r="C220" s="4" t="s">
        <v>652</v>
      </c>
      <c r="D220" t="s">
        <v>709</v>
      </c>
      <c r="E220">
        <v>1985</v>
      </c>
      <c r="G220" s="4" t="s">
        <v>13</v>
      </c>
      <c r="H220">
        <v>1</v>
      </c>
      <c r="I220" t="s">
        <v>141</v>
      </c>
      <c r="J220" t="s">
        <v>13</v>
      </c>
      <c r="K220" t="s">
        <v>13</v>
      </c>
      <c r="N220" s="4" t="s">
        <v>13</v>
      </c>
      <c r="O220">
        <v>1</v>
      </c>
      <c r="R220">
        <v>200</v>
      </c>
      <c r="S220">
        <v>100</v>
      </c>
    </row>
    <row r="221" spans="2:19" x14ac:dyDescent="0.2">
      <c r="B221" s="7">
        <v>43050</v>
      </c>
      <c r="C221" s="4" t="s">
        <v>652</v>
      </c>
      <c r="D221" t="s">
        <v>729</v>
      </c>
      <c r="E221">
        <v>1985</v>
      </c>
      <c r="G221" s="4" t="s">
        <v>13</v>
      </c>
      <c r="H221">
        <v>1</v>
      </c>
      <c r="I221" t="s">
        <v>141</v>
      </c>
      <c r="J221" t="s">
        <v>13</v>
      </c>
      <c r="K221" t="s">
        <v>13</v>
      </c>
      <c r="N221" s="4" t="s">
        <v>13</v>
      </c>
      <c r="O221">
        <v>1</v>
      </c>
      <c r="R221">
        <v>200</v>
      </c>
      <c r="S221">
        <v>100</v>
      </c>
    </row>
    <row r="222" spans="2:19" x14ac:dyDescent="0.2">
      <c r="B222" s="7">
        <v>43050</v>
      </c>
      <c r="C222" s="4" t="s">
        <v>652</v>
      </c>
      <c r="D222" t="s">
        <v>730</v>
      </c>
      <c r="E222">
        <v>1983</v>
      </c>
      <c r="G222" s="4" t="s">
        <v>25</v>
      </c>
      <c r="N222" s="4" t="s">
        <v>25</v>
      </c>
      <c r="S222">
        <v>100</v>
      </c>
    </row>
    <row r="223" spans="2:19" x14ac:dyDescent="0.2">
      <c r="C223" s="4" t="s">
        <v>652</v>
      </c>
      <c r="D223" t="s">
        <v>731</v>
      </c>
      <c r="E223">
        <v>1972</v>
      </c>
      <c r="G223" s="4" t="s">
        <v>13</v>
      </c>
      <c r="H223">
        <v>2</v>
      </c>
      <c r="I223" t="s">
        <v>15</v>
      </c>
      <c r="J223" t="s">
        <v>13</v>
      </c>
      <c r="K223" t="s">
        <v>13</v>
      </c>
      <c r="N223" s="4" t="s">
        <v>13</v>
      </c>
      <c r="O223">
        <v>2</v>
      </c>
      <c r="R223">
        <v>400</v>
      </c>
      <c r="S223">
        <v>100</v>
      </c>
    </row>
    <row r="224" spans="2:19" x14ac:dyDescent="0.2">
      <c r="C224" s="4" t="s">
        <v>652</v>
      </c>
      <c r="D224" t="s">
        <v>732</v>
      </c>
      <c r="G224" s="4" t="s">
        <v>13</v>
      </c>
      <c r="H224">
        <v>1</v>
      </c>
      <c r="I224" t="s">
        <v>141</v>
      </c>
      <c r="J224" t="s">
        <v>25</v>
      </c>
      <c r="K224" t="s">
        <v>25</v>
      </c>
      <c r="N224" s="4" t="s">
        <v>13</v>
      </c>
      <c r="O224">
        <v>1</v>
      </c>
      <c r="R224">
        <v>200</v>
      </c>
      <c r="S224">
        <v>100</v>
      </c>
    </row>
    <row r="225" spans="2:19" x14ac:dyDescent="0.2">
      <c r="C225" s="4" t="s">
        <v>652</v>
      </c>
      <c r="D225" t="s">
        <v>733</v>
      </c>
      <c r="E225">
        <v>1973</v>
      </c>
      <c r="G225" s="4" t="s">
        <v>13</v>
      </c>
      <c r="H225">
        <v>1</v>
      </c>
      <c r="I225" t="s">
        <v>141</v>
      </c>
      <c r="J225" t="s">
        <v>25</v>
      </c>
      <c r="K225" t="s">
        <v>25</v>
      </c>
      <c r="N225" s="4" t="s">
        <v>13</v>
      </c>
      <c r="O225">
        <v>1</v>
      </c>
      <c r="R225">
        <v>200</v>
      </c>
      <c r="S225">
        <v>100</v>
      </c>
    </row>
    <row r="226" spans="2:19" x14ac:dyDescent="0.2">
      <c r="C226" s="4" t="s">
        <v>652</v>
      </c>
      <c r="D226" t="s">
        <v>734</v>
      </c>
      <c r="E226">
        <v>1973</v>
      </c>
      <c r="G226" s="4" t="s">
        <v>13</v>
      </c>
      <c r="H226">
        <v>1</v>
      </c>
      <c r="I226" t="s">
        <v>141</v>
      </c>
      <c r="J226" t="s">
        <v>25</v>
      </c>
      <c r="K226" t="s">
        <v>25</v>
      </c>
      <c r="N226" s="4" t="s">
        <v>13</v>
      </c>
      <c r="O226">
        <v>1</v>
      </c>
      <c r="R226">
        <v>200</v>
      </c>
      <c r="S226">
        <v>100</v>
      </c>
    </row>
    <row r="227" spans="2:19" x14ac:dyDescent="0.2">
      <c r="C227" s="4" t="s">
        <v>652</v>
      </c>
      <c r="D227" t="s">
        <v>735</v>
      </c>
      <c r="E227">
        <v>1995</v>
      </c>
      <c r="G227" s="4" t="s">
        <v>25</v>
      </c>
      <c r="J227" t="s">
        <v>25</v>
      </c>
      <c r="K227" t="s">
        <v>25</v>
      </c>
      <c r="N227" s="4" t="s">
        <v>13</v>
      </c>
      <c r="O227">
        <v>1</v>
      </c>
      <c r="S227">
        <v>100</v>
      </c>
    </row>
    <row r="228" spans="2:19" x14ac:dyDescent="0.2">
      <c r="C228" s="4" t="s">
        <v>652</v>
      </c>
      <c r="D228" t="s">
        <v>736</v>
      </c>
      <c r="E228">
        <v>1965</v>
      </c>
      <c r="G228" s="4" t="s">
        <v>13</v>
      </c>
      <c r="J228" t="s">
        <v>25</v>
      </c>
      <c r="K228" t="s">
        <v>25</v>
      </c>
      <c r="N228" s="4" t="s">
        <v>13</v>
      </c>
      <c r="O228">
        <v>1</v>
      </c>
      <c r="R228">
        <v>200</v>
      </c>
      <c r="S228">
        <v>100</v>
      </c>
    </row>
    <row r="229" spans="2:19" x14ac:dyDescent="0.2">
      <c r="C229" s="4" t="s">
        <v>652</v>
      </c>
      <c r="D229" t="s">
        <v>737</v>
      </c>
      <c r="E229">
        <v>1973</v>
      </c>
      <c r="G229" s="4" t="s">
        <v>13</v>
      </c>
      <c r="H229">
        <v>1</v>
      </c>
      <c r="I229" t="s">
        <v>141</v>
      </c>
      <c r="J229" t="s">
        <v>25</v>
      </c>
      <c r="K229" t="s">
        <v>25</v>
      </c>
      <c r="N229" s="4" t="s">
        <v>13</v>
      </c>
      <c r="O229">
        <v>1</v>
      </c>
      <c r="R229">
        <v>200</v>
      </c>
      <c r="S229">
        <v>100</v>
      </c>
    </row>
    <row r="230" spans="2:19" x14ac:dyDescent="0.2">
      <c r="B230" t="s">
        <v>738</v>
      </c>
      <c r="C230" s="4" t="s">
        <v>652</v>
      </c>
      <c r="D230" t="s">
        <v>739</v>
      </c>
      <c r="E230">
        <v>1966</v>
      </c>
      <c r="F230">
        <v>9840422551</v>
      </c>
      <c r="G230" s="4" t="s">
        <v>25</v>
      </c>
      <c r="J230" t="s">
        <v>25</v>
      </c>
      <c r="K230" t="s">
        <v>25</v>
      </c>
      <c r="N230" s="4" t="s">
        <v>13</v>
      </c>
      <c r="O230">
        <v>1</v>
      </c>
      <c r="S230">
        <v>100</v>
      </c>
    </row>
    <row r="231" spans="2:19" x14ac:dyDescent="0.2">
      <c r="B231" t="s">
        <v>738</v>
      </c>
      <c r="C231" s="4" t="s">
        <v>652</v>
      </c>
      <c r="D231" t="s">
        <v>740</v>
      </c>
      <c r="E231">
        <v>1982</v>
      </c>
      <c r="F231">
        <v>9884484322</v>
      </c>
      <c r="G231" s="4" t="s">
        <v>13</v>
      </c>
      <c r="H231">
        <v>1</v>
      </c>
      <c r="I231" t="s">
        <v>141</v>
      </c>
      <c r="J231" t="s">
        <v>25</v>
      </c>
      <c r="K231" t="s">
        <v>25</v>
      </c>
      <c r="N231" s="4" t="s">
        <v>13</v>
      </c>
      <c r="O231">
        <v>1</v>
      </c>
      <c r="R231">
        <v>200</v>
      </c>
      <c r="S231">
        <v>100</v>
      </c>
    </row>
    <row r="232" spans="2:19" x14ac:dyDescent="0.2">
      <c r="B232" t="s">
        <v>738</v>
      </c>
      <c r="C232" s="4" t="s">
        <v>652</v>
      </c>
      <c r="D232" t="s">
        <v>741</v>
      </c>
      <c r="E232">
        <v>1975</v>
      </c>
      <c r="F232">
        <v>7708410382</v>
      </c>
      <c r="G232" s="4" t="s">
        <v>13</v>
      </c>
      <c r="H232">
        <v>1</v>
      </c>
      <c r="I232" t="s">
        <v>141</v>
      </c>
      <c r="J232" t="s">
        <v>25</v>
      </c>
      <c r="K232" t="s">
        <v>25</v>
      </c>
      <c r="N232" s="4" t="s">
        <v>13</v>
      </c>
      <c r="O232">
        <v>1</v>
      </c>
      <c r="R232">
        <v>200</v>
      </c>
      <c r="S232">
        <v>100</v>
      </c>
    </row>
    <row r="233" spans="2:19" x14ac:dyDescent="0.2">
      <c r="B233" t="s">
        <v>738</v>
      </c>
      <c r="C233" s="4" t="s">
        <v>652</v>
      </c>
      <c r="D233" t="s">
        <v>742</v>
      </c>
      <c r="E233">
        <v>1993</v>
      </c>
      <c r="F233">
        <v>9739528001</v>
      </c>
      <c r="G233" s="4" t="s">
        <v>13</v>
      </c>
      <c r="H233">
        <v>1</v>
      </c>
      <c r="I233" t="s">
        <v>15</v>
      </c>
      <c r="J233" t="s">
        <v>13</v>
      </c>
      <c r="K233" t="s">
        <v>25</v>
      </c>
      <c r="N233" s="4" t="s">
        <v>13</v>
      </c>
      <c r="O233">
        <v>1</v>
      </c>
      <c r="R233">
        <v>200</v>
      </c>
      <c r="S233">
        <v>100</v>
      </c>
    </row>
    <row r="234" spans="2:19" x14ac:dyDescent="0.2">
      <c r="B234" t="s">
        <v>738</v>
      </c>
      <c r="C234" s="4" t="s">
        <v>652</v>
      </c>
      <c r="D234" t="s">
        <v>743</v>
      </c>
      <c r="E234">
        <v>1966</v>
      </c>
      <c r="F234">
        <v>9940510642</v>
      </c>
      <c r="G234" s="4" t="s">
        <v>13</v>
      </c>
      <c r="H234">
        <v>1</v>
      </c>
      <c r="I234" t="s">
        <v>141</v>
      </c>
      <c r="J234" t="s">
        <v>25</v>
      </c>
      <c r="K234" t="s">
        <v>25</v>
      </c>
      <c r="N234" s="4" t="s">
        <v>13</v>
      </c>
      <c r="O234">
        <v>1</v>
      </c>
      <c r="R234">
        <v>200</v>
      </c>
      <c r="S234">
        <v>100</v>
      </c>
    </row>
    <row r="235" spans="2:19" x14ac:dyDescent="0.2">
      <c r="B235" t="s">
        <v>738</v>
      </c>
      <c r="C235" s="4" t="s">
        <v>652</v>
      </c>
      <c r="D235" t="s">
        <v>744</v>
      </c>
      <c r="E235">
        <v>1978</v>
      </c>
      <c r="F235">
        <v>9841064619</v>
      </c>
      <c r="G235" s="4" t="s">
        <v>13</v>
      </c>
      <c r="H235">
        <v>1</v>
      </c>
      <c r="I235" t="s">
        <v>141</v>
      </c>
      <c r="J235" t="s">
        <v>25</v>
      </c>
      <c r="K235" t="s">
        <v>25</v>
      </c>
      <c r="N235" s="4" t="s">
        <v>13</v>
      </c>
      <c r="O235">
        <v>1</v>
      </c>
      <c r="R235">
        <v>200</v>
      </c>
      <c r="S235">
        <v>100</v>
      </c>
    </row>
    <row r="236" spans="2:19" x14ac:dyDescent="0.2">
      <c r="B236" t="s">
        <v>738</v>
      </c>
      <c r="C236" s="4" t="s">
        <v>652</v>
      </c>
      <c r="D236" t="s">
        <v>745</v>
      </c>
      <c r="E236">
        <v>1984</v>
      </c>
      <c r="F236">
        <v>9442119193</v>
      </c>
      <c r="G236" s="4" t="s">
        <v>13</v>
      </c>
      <c r="H236">
        <v>1</v>
      </c>
      <c r="I236" t="s">
        <v>141</v>
      </c>
      <c r="J236" t="s">
        <v>25</v>
      </c>
      <c r="K236" t="s">
        <v>25</v>
      </c>
      <c r="N236" s="4" t="s">
        <v>13</v>
      </c>
      <c r="O236">
        <v>1</v>
      </c>
      <c r="R236">
        <v>200</v>
      </c>
      <c r="S236">
        <v>100</v>
      </c>
    </row>
    <row r="237" spans="2:19" x14ac:dyDescent="0.2">
      <c r="B237" t="s">
        <v>738</v>
      </c>
      <c r="C237" s="4" t="s">
        <v>652</v>
      </c>
      <c r="D237" t="s">
        <v>746</v>
      </c>
      <c r="E237">
        <v>1995</v>
      </c>
      <c r="G237" s="4" t="s">
        <v>13</v>
      </c>
      <c r="H237">
        <v>1</v>
      </c>
      <c r="I237" t="s">
        <v>141</v>
      </c>
      <c r="J237" t="s">
        <v>25</v>
      </c>
      <c r="K237" t="s">
        <v>25</v>
      </c>
      <c r="N237" s="4" t="s">
        <v>13</v>
      </c>
      <c r="O237">
        <v>1</v>
      </c>
      <c r="R237">
        <v>200</v>
      </c>
      <c r="S237">
        <v>100</v>
      </c>
    </row>
    <row r="238" spans="2:19" x14ac:dyDescent="0.2">
      <c r="B238" t="s">
        <v>738</v>
      </c>
      <c r="C238" s="4" t="s">
        <v>652</v>
      </c>
      <c r="D238" t="s">
        <v>747</v>
      </c>
      <c r="E238">
        <v>1966</v>
      </c>
      <c r="G238" s="4" t="s">
        <v>13</v>
      </c>
      <c r="H238">
        <v>1</v>
      </c>
      <c r="I238" t="s">
        <v>141</v>
      </c>
      <c r="J238" t="s">
        <v>25</v>
      </c>
      <c r="K238" t="s">
        <v>25</v>
      </c>
      <c r="N238" s="4" t="s">
        <v>13</v>
      </c>
      <c r="O238">
        <v>1</v>
      </c>
      <c r="R238">
        <v>200</v>
      </c>
      <c r="S238">
        <v>100</v>
      </c>
    </row>
    <row r="239" spans="2:19" x14ac:dyDescent="0.2">
      <c r="B239" t="s">
        <v>738</v>
      </c>
      <c r="C239" s="4" t="s">
        <v>652</v>
      </c>
      <c r="D239" t="s">
        <v>748</v>
      </c>
      <c r="E239">
        <v>1967</v>
      </c>
      <c r="F239">
        <v>9840083595</v>
      </c>
      <c r="G239" s="4" t="s">
        <v>13</v>
      </c>
      <c r="H239">
        <v>1</v>
      </c>
      <c r="I239" t="s">
        <v>141</v>
      </c>
      <c r="J239" t="s">
        <v>25</v>
      </c>
      <c r="K239" t="s">
        <v>25</v>
      </c>
      <c r="N239" s="4" t="s">
        <v>13</v>
      </c>
      <c r="O239">
        <v>1</v>
      </c>
      <c r="R239">
        <v>200</v>
      </c>
      <c r="S239">
        <v>100</v>
      </c>
    </row>
    <row r="240" spans="2:19" x14ac:dyDescent="0.2">
      <c r="B240" t="s">
        <v>738</v>
      </c>
      <c r="C240" s="4" t="s">
        <v>652</v>
      </c>
      <c r="D240" t="s">
        <v>749</v>
      </c>
      <c r="E240">
        <v>1973</v>
      </c>
      <c r="F240">
        <v>9884245993</v>
      </c>
      <c r="G240" s="4" t="s">
        <v>13</v>
      </c>
      <c r="H240">
        <v>1</v>
      </c>
      <c r="I240" t="s">
        <v>141</v>
      </c>
      <c r="J240" t="s">
        <v>25</v>
      </c>
      <c r="K240" t="s">
        <v>25</v>
      </c>
      <c r="N240" s="4" t="s">
        <v>13</v>
      </c>
      <c r="O240">
        <v>1</v>
      </c>
      <c r="R240">
        <v>200</v>
      </c>
      <c r="S240">
        <v>100</v>
      </c>
    </row>
    <row r="241" spans="2:19" x14ac:dyDescent="0.2">
      <c r="B241" t="s">
        <v>738</v>
      </c>
      <c r="C241" s="4" t="s">
        <v>652</v>
      </c>
      <c r="D241" t="s">
        <v>750</v>
      </c>
      <c r="E241">
        <v>1979</v>
      </c>
      <c r="F241">
        <v>9840682712</v>
      </c>
      <c r="G241" s="4" t="s">
        <v>13</v>
      </c>
      <c r="H241">
        <v>2</v>
      </c>
      <c r="I241" t="s">
        <v>756</v>
      </c>
      <c r="J241" t="s">
        <v>25</v>
      </c>
      <c r="K241" t="s">
        <v>25</v>
      </c>
      <c r="N241" s="4" t="s">
        <v>13</v>
      </c>
      <c r="O241">
        <v>2</v>
      </c>
      <c r="R241">
        <v>400</v>
      </c>
      <c r="S241">
        <v>100</v>
      </c>
    </row>
    <row r="242" spans="2:19" x14ac:dyDescent="0.2">
      <c r="B242" t="s">
        <v>738</v>
      </c>
      <c r="C242" s="4" t="s">
        <v>652</v>
      </c>
      <c r="D242" t="s">
        <v>751</v>
      </c>
      <c r="E242">
        <v>1988</v>
      </c>
      <c r="F242">
        <v>9884078687</v>
      </c>
      <c r="G242" s="4" t="s">
        <v>13</v>
      </c>
      <c r="H242">
        <v>1</v>
      </c>
      <c r="I242" t="s">
        <v>141</v>
      </c>
      <c r="J242" t="s">
        <v>25</v>
      </c>
      <c r="K242" t="s">
        <v>25</v>
      </c>
      <c r="N242" s="4" t="s">
        <v>13</v>
      </c>
      <c r="O242">
        <v>1</v>
      </c>
      <c r="R242">
        <v>200</v>
      </c>
      <c r="S242">
        <v>100</v>
      </c>
    </row>
    <row r="243" spans="2:19" x14ac:dyDescent="0.2">
      <c r="B243" t="s">
        <v>738</v>
      </c>
      <c r="C243" s="4" t="s">
        <v>652</v>
      </c>
      <c r="D243" t="s">
        <v>752</v>
      </c>
      <c r="E243">
        <v>1984</v>
      </c>
      <c r="F243">
        <v>9884078601</v>
      </c>
      <c r="G243" s="4" t="s">
        <v>13</v>
      </c>
      <c r="H243">
        <v>1</v>
      </c>
      <c r="I243" t="s">
        <v>141</v>
      </c>
      <c r="J243" t="s">
        <v>25</v>
      </c>
      <c r="K243" t="s">
        <v>25</v>
      </c>
      <c r="N243" s="4" t="s">
        <v>13</v>
      </c>
      <c r="O243">
        <v>1</v>
      </c>
      <c r="R243">
        <v>200</v>
      </c>
      <c r="S243">
        <v>100</v>
      </c>
    </row>
    <row r="244" spans="2:19" x14ac:dyDescent="0.2">
      <c r="B244" t="s">
        <v>738</v>
      </c>
      <c r="C244" s="4" t="s">
        <v>652</v>
      </c>
      <c r="D244" t="s">
        <v>753</v>
      </c>
      <c r="E244">
        <v>1974</v>
      </c>
      <c r="F244">
        <v>9444010787</v>
      </c>
      <c r="G244" s="4" t="s">
        <v>13</v>
      </c>
      <c r="H244">
        <v>1</v>
      </c>
      <c r="I244" t="s">
        <v>141</v>
      </c>
      <c r="J244" t="s">
        <v>25</v>
      </c>
      <c r="K244" t="s">
        <v>25</v>
      </c>
      <c r="N244" s="4" t="s">
        <v>13</v>
      </c>
      <c r="O244">
        <v>1</v>
      </c>
      <c r="R244">
        <v>200</v>
      </c>
      <c r="S244">
        <v>100</v>
      </c>
    </row>
    <row r="245" spans="2:19" x14ac:dyDescent="0.2">
      <c r="B245" t="s">
        <v>738</v>
      </c>
      <c r="C245" s="4" t="s">
        <v>652</v>
      </c>
      <c r="D245" t="s">
        <v>754</v>
      </c>
      <c r="E245">
        <v>1988</v>
      </c>
      <c r="F245">
        <v>9962565384</v>
      </c>
      <c r="G245" s="4" t="s">
        <v>13</v>
      </c>
      <c r="H245">
        <v>2</v>
      </c>
      <c r="I245" t="s">
        <v>141</v>
      </c>
      <c r="J245" t="s">
        <v>25</v>
      </c>
      <c r="K245" t="s">
        <v>25</v>
      </c>
      <c r="N245" t="s">
        <v>13</v>
      </c>
      <c r="O245">
        <v>2</v>
      </c>
      <c r="R245">
        <v>400</v>
      </c>
      <c r="S245">
        <v>100</v>
      </c>
    </row>
    <row r="246" spans="2:19" x14ac:dyDescent="0.2">
      <c r="B246" t="s">
        <v>738</v>
      </c>
      <c r="C246" s="4" t="s">
        <v>652</v>
      </c>
      <c r="D246" t="s">
        <v>755</v>
      </c>
      <c r="E246">
        <v>1988</v>
      </c>
      <c r="F246">
        <v>9791030372</v>
      </c>
      <c r="G246" s="4" t="s">
        <v>13</v>
      </c>
      <c r="H246">
        <v>2</v>
      </c>
      <c r="I246" t="s">
        <v>141</v>
      </c>
      <c r="J246" t="s">
        <v>25</v>
      </c>
      <c r="K246" t="s">
        <v>25</v>
      </c>
      <c r="N246" t="s">
        <v>13</v>
      </c>
      <c r="O246">
        <v>2</v>
      </c>
      <c r="P246">
        <v>1</v>
      </c>
      <c r="R246">
        <v>600</v>
      </c>
      <c r="S246">
        <v>100</v>
      </c>
    </row>
    <row r="247" spans="2:19" x14ac:dyDescent="0.2">
      <c r="B247" t="s">
        <v>738</v>
      </c>
      <c r="C247" s="4" t="s">
        <v>652</v>
      </c>
      <c r="D247" t="s">
        <v>563</v>
      </c>
      <c r="E247">
        <v>1995</v>
      </c>
      <c r="F247">
        <v>9092599733</v>
      </c>
      <c r="G247" s="4" t="s">
        <v>13</v>
      </c>
      <c r="H247">
        <v>1</v>
      </c>
      <c r="I247" t="s">
        <v>141</v>
      </c>
      <c r="J247" t="s">
        <v>25</v>
      </c>
      <c r="K247" t="s">
        <v>25</v>
      </c>
      <c r="N247" t="s">
        <v>13</v>
      </c>
      <c r="O247">
        <v>1</v>
      </c>
      <c r="R247">
        <v>200</v>
      </c>
      <c r="S247">
        <v>100</v>
      </c>
    </row>
    <row r="248" spans="2:19" x14ac:dyDescent="0.2">
      <c r="B248" t="s">
        <v>738</v>
      </c>
      <c r="C248" s="4" t="s">
        <v>652</v>
      </c>
      <c r="D248" t="s">
        <v>757</v>
      </c>
      <c r="E248">
        <v>1995</v>
      </c>
      <c r="F248">
        <v>9543055521</v>
      </c>
      <c r="G248" s="4" t="s">
        <v>13</v>
      </c>
      <c r="H248">
        <v>2</v>
      </c>
      <c r="I248" t="s">
        <v>141</v>
      </c>
      <c r="J248" t="s">
        <v>25</v>
      </c>
      <c r="K248" t="s">
        <v>25</v>
      </c>
      <c r="N248" t="s">
        <v>13</v>
      </c>
      <c r="O248">
        <v>3</v>
      </c>
      <c r="R248">
        <v>900</v>
      </c>
      <c r="S248">
        <v>100</v>
      </c>
    </row>
    <row r="249" spans="2:19" x14ac:dyDescent="0.2">
      <c r="B249" t="s">
        <v>738</v>
      </c>
      <c r="C249" s="4" t="s">
        <v>652</v>
      </c>
      <c r="D249" t="s">
        <v>758</v>
      </c>
      <c r="E249">
        <v>1997</v>
      </c>
      <c r="F249">
        <v>9789894197</v>
      </c>
      <c r="G249" t="s">
        <v>13</v>
      </c>
      <c r="H249">
        <v>1</v>
      </c>
      <c r="I249" t="s">
        <v>141</v>
      </c>
      <c r="J249" t="s">
        <v>25</v>
      </c>
      <c r="K249" t="s">
        <v>25</v>
      </c>
      <c r="N249" t="s">
        <v>13</v>
      </c>
      <c r="O249">
        <v>1</v>
      </c>
      <c r="R249">
        <v>200</v>
      </c>
      <c r="S249">
        <v>100</v>
      </c>
    </row>
    <row r="250" spans="2:19" x14ac:dyDescent="0.2">
      <c r="B250" t="s">
        <v>697</v>
      </c>
      <c r="C250" s="4" t="s">
        <v>652</v>
      </c>
      <c r="D250" t="s">
        <v>759</v>
      </c>
      <c r="E250">
        <v>1966</v>
      </c>
      <c r="F250">
        <v>9884823063</v>
      </c>
      <c r="G250" t="s">
        <v>13</v>
      </c>
      <c r="H250">
        <v>1</v>
      </c>
      <c r="I250" t="s">
        <v>141</v>
      </c>
      <c r="J250" t="s">
        <v>25</v>
      </c>
      <c r="K250" t="s">
        <v>25</v>
      </c>
      <c r="N250" t="s">
        <v>13</v>
      </c>
      <c r="O250">
        <v>1</v>
      </c>
      <c r="R250">
        <v>200</v>
      </c>
      <c r="S250">
        <v>100</v>
      </c>
    </row>
    <row r="251" spans="2:19" x14ac:dyDescent="0.2">
      <c r="B251" t="s">
        <v>697</v>
      </c>
      <c r="C251" s="4" t="s">
        <v>652</v>
      </c>
      <c r="D251" t="s">
        <v>760</v>
      </c>
      <c r="E251">
        <v>1966</v>
      </c>
      <c r="F251">
        <v>9962803017</v>
      </c>
      <c r="G251" t="s">
        <v>13</v>
      </c>
      <c r="H251">
        <v>1</v>
      </c>
      <c r="I251" t="s">
        <v>141</v>
      </c>
      <c r="J251" t="s">
        <v>25</v>
      </c>
      <c r="K251" t="s">
        <v>25</v>
      </c>
      <c r="N251" t="s">
        <v>13</v>
      </c>
      <c r="O251">
        <v>1</v>
      </c>
      <c r="R251">
        <v>200</v>
      </c>
      <c r="S251">
        <v>100</v>
      </c>
    </row>
    <row r="252" spans="2:19" x14ac:dyDescent="0.2">
      <c r="B252" t="s">
        <v>697</v>
      </c>
      <c r="C252" s="4" t="s">
        <v>652</v>
      </c>
      <c r="D252" t="s">
        <v>761</v>
      </c>
      <c r="E252">
        <v>1966</v>
      </c>
      <c r="F252">
        <v>9841146424</v>
      </c>
      <c r="G252" t="s">
        <v>13</v>
      </c>
      <c r="H252">
        <v>1</v>
      </c>
      <c r="I252" t="s">
        <v>141</v>
      </c>
      <c r="J252" t="s">
        <v>25</v>
      </c>
      <c r="K252" t="s">
        <v>25</v>
      </c>
      <c r="N252" t="s">
        <v>13</v>
      </c>
      <c r="O252">
        <v>1</v>
      </c>
      <c r="R252">
        <v>200</v>
      </c>
      <c r="S252">
        <v>100</v>
      </c>
    </row>
    <row r="253" spans="2:19" x14ac:dyDescent="0.2">
      <c r="B253" t="s">
        <v>697</v>
      </c>
      <c r="C253" s="4" t="s">
        <v>652</v>
      </c>
      <c r="D253" t="s">
        <v>762</v>
      </c>
      <c r="E253">
        <v>1992</v>
      </c>
      <c r="F253">
        <v>9840486555</v>
      </c>
      <c r="G253" t="s">
        <v>13</v>
      </c>
      <c r="H253">
        <v>1</v>
      </c>
      <c r="I253" t="s">
        <v>141</v>
      </c>
      <c r="J253" t="s">
        <v>25</v>
      </c>
      <c r="K253" t="s">
        <v>25</v>
      </c>
      <c r="N253" t="s">
        <v>13</v>
      </c>
      <c r="O253">
        <v>1</v>
      </c>
      <c r="R253">
        <v>200</v>
      </c>
      <c r="S253">
        <v>100</v>
      </c>
    </row>
  </sheetData>
  <hyperlinks>
    <hyperlink ref="L167" r:id="rId1"/>
    <hyperlink ref="L170" r:id="rId2"/>
  </hyperlinks>
  <pageMargins left="0.7" right="0.7" top="0.75" bottom="0.75" header="0.3" footer="0.3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T227"/>
  <sheetViews>
    <sheetView workbookViewId="0">
      <pane xSplit="5" ySplit="1" topLeftCell="M7" activePane="bottomRight" state="frozen"/>
      <selection pane="topRight" activeCell="F1" sqref="F1"/>
      <selection pane="bottomLeft" activeCell="A2" sqref="A2"/>
      <selection pane="bottomRight" activeCell="E7" sqref="E7"/>
    </sheetView>
  </sheetViews>
  <sheetFormatPr defaultRowHeight="12.75" x14ac:dyDescent="0.2"/>
  <cols>
    <col min="2" max="2" width="18.140625" bestFit="1" customWidth="1"/>
    <col min="3" max="3" width="18.140625" customWidth="1"/>
    <col min="4" max="4" width="22.42578125" customWidth="1"/>
    <col min="6" max="6" width="17.7109375" customWidth="1"/>
    <col min="9" max="11" width="9.140625" customWidth="1"/>
    <col min="12" max="12" width="34.28515625" customWidth="1"/>
    <col min="13" max="13" width="32.140625" customWidth="1"/>
    <col min="17" max="17" width="10.140625" bestFit="1" customWidth="1"/>
  </cols>
  <sheetData>
    <row r="1" spans="1:20" x14ac:dyDescent="0.2">
      <c r="A1" t="s">
        <v>649</v>
      </c>
      <c r="B1" t="s">
        <v>0</v>
      </c>
      <c r="C1" t="s">
        <v>650</v>
      </c>
      <c r="D1" s="3" t="s">
        <v>1</v>
      </c>
      <c r="E1" s="3" t="s">
        <v>2</v>
      </c>
      <c r="F1" s="3" t="s">
        <v>3</v>
      </c>
      <c r="G1" t="s">
        <v>4</v>
      </c>
      <c r="H1" s="3" t="s">
        <v>5</v>
      </c>
      <c r="I1" s="3" t="s">
        <v>6</v>
      </c>
      <c r="J1" t="s">
        <v>7</v>
      </c>
      <c r="K1" t="s">
        <v>8</v>
      </c>
      <c r="L1" s="3" t="s">
        <v>9</v>
      </c>
      <c r="M1" s="3" t="s">
        <v>10</v>
      </c>
      <c r="N1" s="4" t="s">
        <v>687</v>
      </c>
      <c r="O1" s="4" t="s">
        <v>688</v>
      </c>
      <c r="P1" s="4" t="s">
        <v>689</v>
      </c>
      <c r="Q1" s="4" t="s">
        <v>690</v>
      </c>
      <c r="R1" s="4" t="s">
        <v>691</v>
      </c>
      <c r="S1" s="4" t="s">
        <v>692</v>
      </c>
      <c r="T1" s="4" t="s">
        <v>693</v>
      </c>
    </row>
    <row r="2" spans="1:20" hidden="1" x14ac:dyDescent="0.2">
      <c r="B2" s="2">
        <v>43047.751034525463</v>
      </c>
      <c r="C2" s="2" t="s">
        <v>651</v>
      </c>
      <c r="D2" s="3" t="s">
        <v>11</v>
      </c>
      <c r="E2" s="3">
        <v>1968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13</v>
      </c>
      <c r="K2" s="3" t="s">
        <v>13</v>
      </c>
      <c r="L2" s="3" t="s">
        <v>16</v>
      </c>
      <c r="M2" s="3" t="s">
        <v>17</v>
      </c>
      <c r="N2" s="3" t="s">
        <v>13</v>
      </c>
      <c r="O2">
        <v>1</v>
      </c>
      <c r="R2">
        <v>200</v>
      </c>
      <c r="S2">
        <v>100</v>
      </c>
    </row>
    <row r="3" spans="1:20" hidden="1" x14ac:dyDescent="0.2">
      <c r="B3" s="2">
        <v>43047.752563321759</v>
      </c>
      <c r="C3" s="2" t="s">
        <v>651</v>
      </c>
      <c r="D3" s="3" t="s">
        <v>18</v>
      </c>
      <c r="E3" s="3">
        <v>1983</v>
      </c>
      <c r="F3" s="3" t="s">
        <v>19</v>
      </c>
      <c r="G3" s="3" t="s">
        <v>13</v>
      </c>
      <c r="H3" s="3">
        <v>1</v>
      </c>
      <c r="I3" s="3" t="s">
        <v>20</v>
      </c>
      <c r="J3" s="3" t="s">
        <v>13</v>
      </c>
      <c r="K3" s="3" t="s">
        <v>13</v>
      </c>
      <c r="L3" s="3" t="s">
        <v>21</v>
      </c>
      <c r="M3" s="3" t="s">
        <v>22</v>
      </c>
      <c r="N3" s="3" t="s">
        <v>13</v>
      </c>
      <c r="O3">
        <v>1</v>
      </c>
      <c r="R3">
        <v>200</v>
      </c>
      <c r="S3">
        <v>100</v>
      </c>
    </row>
    <row r="4" spans="1:20" hidden="1" x14ac:dyDescent="0.2">
      <c r="B4" s="2">
        <v>43047.755484039357</v>
      </c>
      <c r="C4" s="2" t="s">
        <v>651</v>
      </c>
      <c r="D4" s="3" t="s">
        <v>29</v>
      </c>
      <c r="E4" s="3">
        <v>1988</v>
      </c>
      <c r="F4" s="3">
        <v>971502471199</v>
      </c>
      <c r="G4" s="3" t="s">
        <v>13</v>
      </c>
      <c r="H4" s="3" t="s">
        <v>30</v>
      </c>
      <c r="I4" s="3" t="s">
        <v>15</v>
      </c>
      <c r="J4" s="3" t="s">
        <v>13</v>
      </c>
      <c r="K4" s="3" t="s">
        <v>13</v>
      </c>
      <c r="L4" s="3" t="s">
        <v>31</v>
      </c>
      <c r="M4" s="3" t="s">
        <v>32</v>
      </c>
      <c r="N4" s="3" t="s">
        <v>13</v>
      </c>
      <c r="O4">
        <v>1</v>
      </c>
      <c r="R4">
        <v>200</v>
      </c>
      <c r="S4">
        <v>100</v>
      </c>
    </row>
    <row r="5" spans="1:20" hidden="1" x14ac:dyDescent="0.2">
      <c r="B5" s="2">
        <v>43047.757646064812</v>
      </c>
      <c r="C5" s="2" t="s">
        <v>651</v>
      </c>
      <c r="D5" s="3" t="s">
        <v>33</v>
      </c>
      <c r="E5" s="3">
        <v>1968</v>
      </c>
      <c r="F5" s="3" t="s">
        <v>34</v>
      </c>
      <c r="G5" s="3" t="s">
        <v>13</v>
      </c>
      <c r="H5" s="3">
        <v>2</v>
      </c>
      <c r="I5" s="3" t="s">
        <v>35</v>
      </c>
      <c r="J5" s="3" t="s">
        <v>13</v>
      </c>
      <c r="K5" s="3" t="s">
        <v>13</v>
      </c>
      <c r="L5" s="3" t="s">
        <v>36</v>
      </c>
      <c r="M5" s="3" t="s">
        <v>37</v>
      </c>
      <c r="N5" s="3" t="s">
        <v>13</v>
      </c>
      <c r="O5">
        <v>2</v>
      </c>
      <c r="R5">
        <v>400</v>
      </c>
      <c r="S5">
        <v>100</v>
      </c>
    </row>
    <row r="6" spans="1:20" hidden="1" x14ac:dyDescent="0.2">
      <c r="B6" s="2">
        <v>43047.758797615737</v>
      </c>
      <c r="C6" s="2" t="s">
        <v>651</v>
      </c>
      <c r="D6" s="3" t="s">
        <v>38</v>
      </c>
      <c r="E6" s="3">
        <v>1992</v>
      </c>
      <c r="F6" s="3" t="s">
        <v>39</v>
      </c>
      <c r="G6" s="3" t="s">
        <v>13</v>
      </c>
      <c r="H6" s="3" t="s">
        <v>40</v>
      </c>
      <c r="I6" s="3" t="s">
        <v>41</v>
      </c>
      <c r="J6" s="3" t="s">
        <v>13</v>
      </c>
      <c r="K6" s="3" t="s">
        <v>13</v>
      </c>
      <c r="L6" s="3" t="s">
        <v>42</v>
      </c>
      <c r="M6" s="3" t="s">
        <v>17</v>
      </c>
      <c r="N6" s="3" t="s">
        <v>13</v>
      </c>
      <c r="O6">
        <v>1</v>
      </c>
      <c r="Q6" s="3" t="s">
        <v>697</v>
      </c>
      <c r="R6">
        <v>200</v>
      </c>
      <c r="S6">
        <v>100</v>
      </c>
    </row>
    <row r="7" spans="1:20" x14ac:dyDescent="0.2">
      <c r="B7" s="2">
        <v>43047.762153113421</v>
      </c>
      <c r="C7" s="2" t="s">
        <v>651</v>
      </c>
      <c r="D7" s="3" t="s">
        <v>53</v>
      </c>
      <c r="E7" s="3">
        <v>1992</v>
      </c>
      <c r="F7" s="3" t="s">
        <v>54</v>
      </c>
      <c r="G7" s="3" t="s">
        <v>13</v>
      </c>
      <c r="H7" s="3">
        <v>1</v>
      </c>
      <c r="I7" s="3" t="s">
        <v>41</v>
      </c>
      <c r="J7" s="3" t="s">
        <v>13</v>
      </c>
      <c r="K7" s="3" t="s">
        <v>25</v>
      </c>
      <c r="L7" s="3" t="s">
        <v>55</v>
      </c>
      <c r="M7" s="3" t="s">
        <v>17</v>
      </c>
      <c r="N7" s="3" t="s">
        <v>13</v>
      </c>
      <c r="O7">
        <v>1</v>
      </c>
      <c r="R7">
        <v>200</v>
      </c>
      <c r="S7">
        <v>100</v>
      </c>
    </row>
    <row r="8" spans="1:20" hidden="1" x14ac:dyDescent="0.2">
      <c r="B8" s="2">
        <v>43047.763699016199</v>
      </c>
      <c r="C8" s="2" t="s">
        <v>651</v>
      </c>
      <c r="D8" s="3" t="s">
        <v>56</v>
      </c>
      <c r="E8" s="3">
        <v>1988</v>
      </c>
      <c r="F8" s="3" t="s">
        <v>57</v>
      </c>
      <c r="G8" s="3" t="s">
        <v>13</v>
      </c>
      <c r="H8" s="3">
        <v>1</v>
      </c>
      <c r="I8" s="3" t="s">
        <v>41</v>
      </c>
      <c r="J8" s="3" t="s">
        <v>13</v>
      </c>
      <c r="K8" s="3" t="s">
        <v>13</v>
      </c>
      <c r="L8" s="3" t="s">
        <v>58</v>
      </c>
      <c r="M8" s="3" t="s">
        <v>59</v>
      </c>
      <c r="N8" s="3" t="s">
        <v>13</v>
      </c>
      <c r="O8">
        <v>1</v>
      </c>
      <c r="R8">
        <v>200</v>
      </c>
      <c r="S8">
        <v>100</v>
      </c>
    </row>
    <row r="9" spans="1:20" hidden="1" x14ac:dyDescent="0.2">
      <c r="B9" s="2">
        <v>43047.765137303242</v>
      </c>
      <c r="C9" s="2" t="s">
        <v>651</v>
      </c>
      <c r="D9" s="3" t="s">
        <v>60</v>
      </c>
      <c r="E9" s="3">
        <v>2009</v>
      </c>
      <c r="F9" s="3" t="s">
        <v>61</v>
      </c>
      <c r="G9" s="3" t="s">
        <v>13</v>
      </c>
      <c r="H9" s="3" t="s">
        <v>62</v>
      </c>
      <c r="I9" s="3" t="s">
        <v>15</v>
      </c>
      <c r="J9" s="3" t="s">
        <v>25</v>
      </c>
      <c r="K9" s="3" t="s">
        <v>13</v>
      </c>
      <c r="L9" s="3" t="s">
        <v>63</v>
      </c>
      <c r="M9" s="3" t="s">
        <v>17</v>
      </c>
      <c r="N9" s="3" t="s">
        <v>25</v>
      </c>
      <c r="O9">
        <v>2</v>
      </c>
    </row>
    <row r="10" spans="1:20" hidden="1" x14ac:dyDescent="0.2">
      <c r="B10" s="2">
        <v>43047.771893831014</v>
      </c>
      <c r="C10" s="2" t="s">
        <v>651</v>
      </c>
      <c r="D10" s="3" t="s">
        <v>64</v>
      </c>
      <c r="E10" s="3">
        <v>1980</v>
      </c>
      <c r="F10" s="3" t="s">
        <v>65</v>
      </c>
      <c r="G10" s="3" t="s">
        <v>13</v>
      </c>
      <c r="H10" s="3" t="s">
        <v>66</v>
      </c>
      <c r="I10" s="3" t="s">
        <v>67</v>
      </c>
      <c r="J10" s="3" t="s">
        <v>13</v>
      </c>
      <c r="K10" s="3" t="s">
        <v>13</v>
      </c>
      <c r="L10" s="3" t="s">
        <v>68</v>
      </c>
      <c r="M10" s="3" t="s">
        <v>69</v>
      </c>
      <c r="N10" s="3" t="s">
        <v>13</v>
      </c>
      <c r="O10">
        <v>2</v>
      </c>
      <c r="R10">
        <v>400</v>
      </c>
      <c r="S10">
        <v>100</v>
      </c>
    </row>
    <row r="11" spans="1:20" hidden="1" x14ac:dyDescent="0.2">
      <c r="B11" s="2">
        <v>43047.774098229165</v>
      </c>
      <c r="C11" s="2" t="s">
        <v>651</v>
      </c>
      <c r="D11" s="3" t="s">
        <v>70</v>
      </c>
      <c r="E11" s="3">
        <v>1995</v>
      </c>
      <c r="F11" s="3" t="s">
        <v>71</v>
      </c>
      <c r="G11" s="3" t="s">
        <v>13</v>
      </c>
      <c r="H11" s="3" t="s">
        <v>72</v>
      </c>
      <c r="I11" s="3" t="s">
        <v>35</v>
      </c>
      <c r="J11" s="3" t="s">
        <v>13</v>
      </c>
      <c r="K11" s="3" t="s">
        <v>13</v>
      </c>
      <c r="L11" s="3" t="s">
        <v>73</v>
      </c>
      <c r="M11" s="3" t="s">
        <v>59</v>
      </c>
      <c r="N11" s="3" t="s">
        <v>13</v>
      </c>
      <c r="O11">
        <v>2</v>
      </c>
      <c r="P11">
        <v>2</v>
      </c>
      <c r="R11">
        <v>400</v>
      </c>
      <c r="S11">
        <v>100</v>
      </c>
    </row>
    <row r="12" spans="1:20" hidden="1" x14ac:dyDescent="0.2">
      <c r="B12" s="2">
        <v>43047.797404212964</v>
      </c>
      <c r="C12" s="2" t="s">
        <v>651</v>
      </c>
      <c r="D12" s="3" t="s">
        <v>79</v>
      </c>
      <c r="E12" s="3">
        <v>1972</v>
      </c>
      <c r="F12" s="3" t="s">
        <v>80</v>
      </c>
      <c r="G12" s="3" t="s">
        <v>13</v>
      </c>
      <c r="H12" s="3" t="s">
        <v>81</v>
      </c>
      <c r="I12" s="3" t="s">
        <v>82</v>
      </c>
      <c r="J12" s="3" t="s">
        <v>13</v>
      </c>
      <c r="K12" s="3" t="s">
        <v>13</v>
      </c>
      <c r="L12" s="3" t="s">
        <v>83</v>
      </c>
      <c r="M12" s="3" t="s">
        <v>84</v>
      </c>
      <c r="N12" s="3" t="s">
        <v>13</v>
      </c>
      <c r="O12">
        <v>2</v>
      </c>
      <c r="R12">
        <v>400</v>
      </c>
      <c r="S12">
        <v>100</v>
      </c>
    </row>
    <row r="13" spans="1:20" hidden="1" x14ac:dyDescent="0.2">
      <c r="B13" s="2">
        <v>43047.799655358795</v>
      </c>
      <c r="C13" s="2" t="s">
        <v>651</v>
      </c>
      <c r="D13" s="3" t="s">
        <v>85</v>
      </c>
      <c r="E13" s="3">
        <v>1969</v>
      </c>
      <c r="F13" s="3" t="s">
        <v>86</v>
      </c>
      <c r="G13" s="3" t="s">
        <v>13</v>
      </c>
      <c r="H13" s="3" t="s">
        <v>87</v>
      </c>
      <c r="I13" s="3" t="s">
        <v>20</v>
      </c>
      <c r="J13" s="3" t="s">
        <v>25</v>
      </c>
      <c r="K13" s="3" t="s">
        <v>25</v>
      </c>
      <c r="L13" s="3" t="s">
        <v>88</v>
      </c>
      <c r="M13" s="3" t="s">
        <v>89</v>
      </c>
      <c r="N13" s="3" t="s">
        <v>25</v>
      </c>
      <c r="O13">
        <v>1</v>
      </c>
    </row>
    <row r="14" spans="1:20" hidden="1" x14ac:dyDescent="0.2">
      <c r="B14" s="2">
        <v>43047.802054189815</v>
      </c>
      <c r="C14" s="2" t="s">
        <v>651</v>
      </c>
      <c r="D14" s="3" t="s">
        <v>90</v>
      </c>
      <c r="E14" s="3">
        <v>1972</v>
      </c>
      <c r="F14" s="3" t="s">
        <v>91</v>
      </c>
      <c r="G14" s="3" t="s">
        <v>13</v>
      </c>
      <c r="H14" s="3" t="s">
        <v>92</v>
      </c>
      <c r="I14" s="3" t="s">
        <v>15</v>
      </c>
      <c r="J14" s="3" t="s">
        <v>13</v>
      </c>
      <c r="K14" s="3" t="s">
        <v>13</v>
      </c>
      <c r="L14" s="3" t="s">
        <v>93</v>
      </c>
      <c r="M14" s="3" t="s">
        <v>94</v>
      </c>
      <c r="N14" s="3" t="s">
        <v>13</v>
      </c>
      <c r="O14">
        <v>1</v>
      </c>
      <c r="R14">
        <v>200</v>
      </c>
      <c r="S14">
        <v>100</v>
      </c>
    </row>
    <row r="15" spans="1:20" hidden="1" x14ac:dyDescent="0.2">
      <c r="B15" s="2">
        <v>43047.814857291669</v>
      </c>
      <c r="C15" s="2" t="s">
        <v>651</v>
      </c>
      <c r="D15" s="3" t="s">
        <v>99</v>
      </c>
      <c r="E15" s="3">
        <v>1968</v>
      </c>
      <c r="F15" s="3" t="s">
        <v>100</v>
      </c>
      <c r="G15" s="3" t="s">
        <v>13</v>
      </c>
      <c r="H15" s="3" t="s">
        <v>101</v>
      </c>
      <c r="I15" s="3" t="s">
        <v>15</v>
      </c>
      <c r="J15" s="3" t="s">
        <v>13</v>
      </c>
      <c r="K15" s="3" t="s">
        <v>13</v>
      </c>
      <c r="L15" s="3" t="s">
        <v>102</v>
      </c>
      <c r="M15" s="3" t="s">
        <v>103</v>
      </c>
      <c r="N15" s="3" t="s">
        <v>13</v>
      </c>
      <c r="O15">
        <v>1</v>
      </c>
      <c r="R15">
        <v>200</v>
      </c>
      <c r="S15">
        <v>100</v>
      </c>
    </row>
    <row r="16" spans="1:20" hidden="1" x14ac:dyDescent="0.2">
      <c r="B16" s="2">
        <v>43047.839898657403</v>
      </c>
      <c r="C16" s="2" t="s">
        <v>651</v>
      </c>
      <c r="D16" s="3" t="s">
        <v>104</v>
      </c>
      <c r="E16" s="3">
        <v>1971</v>
      </c>
      <c r="F16" s="3" t="s">
        <v>105</v>
      </c>
      <c r="G16" s="3" t="s">
        <v>13</v>
      </c>
      <c r="H16" s="3">
        <v>2</v>
      </c>
      <c r="I16" s="3" t="s">
        <v>15</v>
      </c>
      <c r="J16" s="3" t="s">
        <v>13</v>
      </c>
      <c r="K16" s="3" t="s">
        <v>13</v>
      </c>
      <c r="L16" s="3" t="s">
        <v>106</v>
      </c>
      <c r="M16" s="3" t="s">
        <v>107</v>
      </c>
      <c r="N16" s="3" t="s">
        <v>13</v>
      </c>
      <c r="O16">
        <v>2</v>
      </c>
      <c r="R16">
        <v>400</v>
      </c>
      <c r="S16">
        <v>100</v>
      </c>
    </row>
    <row r="17" spans="2:19" hidden="1" x14ac:dyDescent="0.2">
      <c r="B17" s="2">
        <v>43047.841818807872</v>
      </c>
      <c r="C17" s="2" t="s">
        <v>651</v>
      </c>
      <c r="D17" s="3" t="s">
        <v>108</v>
      </c>
      <c r="E17" s="3">
        <v>1974</v>
      </c>
      <c r="F17" s="3" t="s">
        <v>109</v>
      </c>
      <c r="G17" s="3" t="s">
        <v>13</v>
      </c>
      <c r="H17" s="3" t="s">
        <v>45</v>
      </c>
      <c r="I17" s="3" t="s">
        <v>110</v>
      </c>
      <c r="J17" s="3" t="s">
        <v>13</v>
      </c>
      <c r="K17" s="3" t="s">
        <v>13</v>
      </c>
      <c r="L17" s="3" t="s">
        <v>111</v>
      </c>
      <c r="M17" s="3" t="s">
        <v>112</v>
      </c>
      <c r="N17" s="3" t="s">
        <v>13</v>
      </c>
      <c r="O17">
        <v>1</v>
      </c>
      <c r="R17">
        <v>200</v>
      </c>
      <c r="S17">
        <v>100</v>
      </c>
    </row>
    <row r="18" spans="2:19" hidden="1" x14ac:dyDescent="0.2">
      <c r="B18" s="2">
        <v>43047.845309988421</v>
      </c>
      <c r="C18" s="2" t="s">
        <v>651</v>
      </c>
      <c r="D18" s="3" t="s">
        <v>113</v>
      </c>
      <c r="E18" s="3">
        <v>1971</v>
      </c>
      <c r="F18" s="3" t="s">
        <v>114</v>
      </c>
      <c r="G18" s="3" t="s">
        <v>13</v>
      </c>
      <c r="H18" s="3" t="s">
        <v>115</v>
      </c>
      <c r="I18" s="3" t="s">
        <v>20</v>
      </c>
      <c r="J18" s="3" t="s">
        <v>13</v>
      </c>
      <c r="K18" s="3" t="s">
        <v>13</v>
      </c>
      <c r="L18" s="3" t="s">
        <v>116</v>
      </c>
      <c r="M18" s="3" t="s">
        <v>17</v>
      </c>
      <c r="N18" s="3" t="s">
        <v>13</v>
      </c>
      <c r="O18">
        <v>2</v>
      </c>
      <c r="R18">
        <v>400</v>
      </c>
      <c r="S18">
        <v>100</v>
      </c>
    </row>
    <row r="19" spans="2:19" hidden="1" x14ac:dyDescent="0.2">
      <c r="B19" s="2">
        <v>43047.84710407407</v>
      </c>
      <c r="C19" s="2" t="s">
        <v>651</v>
      </c>
      <c r="D19" s="3" t="s">
        <v>117</v>
      </c>
      <c r="E19" s="3">
        <v>1988</v>
      </c>
      <c r="F19" s="3" t="s">
        <v>118</v>
      </c>
      <c r="G19" s="3" t="s">
        <v>13</v>
      </c>
      <c r="H19" s="3">
        <v>1</v>
      </c>
      <c r="I19" s="3" t="s">
        <v>41</v>
      </c>
      <c r="J19" s="3" t="s">
        <v>13</v>
      </c>
      <c r="K19" s="3" t="s">
        <v>13</v>
      </c>
      <c r="L19" s="3" t="s">
        <v>119</v>
      </c>
      <c r="M19" s="3" t="s">
        <v>17</v>
      </c>
      <c r="N19" s="3" t="s">
        <v>13</v>
      </c>
      <c r="O19">
        <v>1</v>
      </c>
      <c r="R19">
        <v>200</v>
      </c>
      <c r="S19">
        <v>100</v>
      </c>
    </row>
    <row r="20" spans="2:19" hidden="1" x14ac:dyDescent="0.2">
      <c r="B20" s="2">
        <v>43047.858618356477</v>
      </c>
      <c r="C20" s="2" t="s">
        <v>651</v>
      </c>
      <c r="D20" s="3" t="s">
        <v>124</v>
      </c>
      <c r="E20" s="3">
        <v>1975</v>
      </c>
      <c r="F20" s="3">
        <v>919841022628</v>
      </c>
      <c r="G20" s="3" t="s">
        <v>13</v>
      </c>
      <c r="H20" s="3" t="s">
        <v>125</v>
      </c>
      <c r="I20" s="3" t="s">
        <v>35</v>
      </c>
      <c r="J20" s="3" t="s">
        <v>13</v>
      </c>
      <c r="K20" s="3" t="s">
        <v>13</v>
      </c>
      <c r="L20" s="3" t="s">
        <v>126</v>
      </c>
      <c r="M20" s="3" t="s">
        <v>84</v>
      </c>
      <c r="N20" s="3" t="s">
        <v>13</v>
      </c>
      <c r="O20">
        <v>1</v>
      </c>
      <c r="R20">
        <v>200</v>
      </c>
      <c r="S20">
        <v>100</v>
      </c>
    </row>
    <row r="21" spans="2:19" hidden="1" x14ac:dyDescent="0.2">
      <c r="B21" s="2">
        <v>43047.9385993287</v>
      </c>
      <c r="C21" s="2" t="s">
        <v>651</v>
      </c>
      <c r="D21" s="3" t="s">
        <v>139</v>
      </c>
      <c r="E21" s="3">
        <v>1972</v>
      </c>
      <c r="F21" s="3" t="s">
        <v>140</v>
      </c>
      <c r="G21" s="3" t="s">
        <v>13</v>
      </c>
      <c r="H21" s="3" t="s">
        <v>62</v>
      </c>
      <c r="I21" s="3" t="s">
        <v>141</v>
      </c>
      <c r="J21" s="3" t="s">
        <v>13</v>
      </c>
      <c r="K21" s="3" t="s">
        <v>13</v>
      </c>
      <c r="L21" s="3" t="s">
        <v>142</v>
      </c>
      <c r="M21" s="3" t="s">
        <v>59</v>
      </c>
      <c r="N21" s="3" t="s">
        <v>13</v>
      </c>
      <c r="O21">
        <v>2</v>
      </c>
      <c r="R21">
        <v>400</v>
      </c>
      <c r="S21">
        <v>100</v>
      </c>
    </row>
    <row r="22" spans="2:19" x14ac:dyDescent="0.2">
      <c r="B22" s="2">
        <v>43047.945890810181</v>
      </c>
      <c r="C22" s="2" t="s">
        <v>651</v>
      </c>
      <c r="D22" s="3" t="s">
        <v>143</v>
      </c>
      <c r="E22" s="3">
        <v>1974</v>
      </c>
      <c r="F22" s="3">
        <v>919841879318</v>
      </c>
      <c r="G22" s="3" t="s">
        <v>13</v>
      </c>
      <c r="H22" s="3" t="s">
        <v>144</v>
      </c>
      <c r="I22" s="3" t="s">
        <v>41</v>
      </c>
      <c r="J22" s="3" t="s">
        <v>13</v>
      </c>
      <c r="K22" s="3" t="s">
        <v>25</v>
      </c>
      <c r="L22" s="3" t="s">
        <v>145</v>
      </c>
      <c r="M22" s="3" t="s">
        <v>146</v>
      </c>
      <c r="N22" s="3" t="s">
        <v>13</v>
      </c>
      <c r="O22">
        <v>1</v>
      </c>
      <c r="R22">
        <v>200</v>
      </c>
      <c r="S22">
        <v>100</v>
      </c>
    </row>
    <row r="23" spans="2:19" hidden="1" x14ac:dyDescent="0.2">
      <c r="B23" s="2">
        <v>43047.970304965274</v>
      </c>
      <c r="C23" s="2" t="s">
        <v>651</v>
      </c>
      <c r="D23" s="3" t="s">
        <v>147</v>
      </c>
      <c r="E23" s="3">
        <v>1988</v>
      </c>
      <c r="F23" s="3" t="s">
        <v>148</v>
      </c>
      <c r="G23" s="3" t="s">
        <v>13</v>
      </c>
      <c r="H23" s="3">
        <v>1</v>
      </c>
      <c r="I23" s="3" t="s">
        <v>41</v>
      </c>
      <c r="J23" s="3" t="s">
        <v>13</v>
      </c>
      <c r="K23" s="3" t="s">
        <v>13</v>
      </c>
      <c r="L23" s="3" t="s">
        <v>149</v>
      </c>
      <c r="M23" s="3" t="s">
        <v>150</v>
      </c>
      <c r="N23" s="3" t="s">
        <v>13</v>
      </c>
      <c r="O23">
        <v>1</v>
      </c>
      <c r="R23">
        <v>200</v>
      </c>
      <c r="S23">
        <v>100</v>
      </c>
    </row>
    <row r="24" spans="2:19" hidden="1" x14ac:dyDescent="0.2">
      <c r="B24" s="2">
        <v>43048.088361712958</v>
      </c>
      <c r="C24" s="2" t="s">
        <v>651</v>
      </c>
      <c r="D24" s="3" t="s">
        <v>151</v>
      </c>
      <c r="E24" s="3">
        <v>1991</v>
      </c>
      <c r="F24" s="3" t="s">
        <v>152</v>
      </c>
      <c r="G24" s="3" t="s">
        <v>13</v>
      </c>
      <c r="H24" s="3">
        <v>1</v>
      </c>
      <c r="I24" s="3" t="s">
        <v>153</v>
      </c>
      <c r="J24" s="3" t="s">
        <v>25</v>
      </c>
      <c r="K24" s="3" t="s">
        <v>25</v>
      </c>
      <c r="L24" s="3" t="s">
        <v>154</v>
      </c>
      <c r="M24" s="3" t="s">
        <v>59</v>
      </c>
      <c r="N24" s="3" t="s">
        <v>25</v>
      </c>
      <c r="O24">
        <v>1</v>
      </c>
    </row>
    <row r="25" spans="2:19" hidden="1" x14ac:dyDescent="0.2">
      <c r="B25" s="2">
        <v>43048.092233587959</v>
      </c>
      <c r="C25" s="2" t="s">
        <v>651</v>
      </c>
      <c r="D25" s="3" t="s">
        <v>155</v>
      </c>
      <c r="E25" s="3">
        <v>1972</v>
      </c>
      <c r="F25" s="3" t="s">
        <v>156</v>
      </c>
      <c r="G25" s="3" t="s">
        <v>13</v>
      </c>
      <c r="H25" s="3">
        <v>1</v>
      </c>
      <c r="I25" s="3" t="s">
        <v>15</v>
      </c>
      <c r="J25" s="3" t="s">
        <v>25</v>
      </c>
      <c r="K25" s="3" t="s">
        <v>13</v>
      </c>
      <c r="L25" s="3" t="s">
        <v>157</v>
      </c>
      <c r="M25" s="3" t="s">
        <v>158</v>
      </c>
      <c r="N25" s="3" t="s">
        <v>13</v>
      </c>
      <c r="O25">
        <v>2</v>
      </c>
      <c r="R25">
        <v>400</v>
      </c>
      <c r="S25">
        <v>100</v>
      </c>
    </row>
    <row r="26" spans="2:19" hidden="1" x14ac:dyDescent="0.2">
      <c r="B26" s="2">
        <v>43048.262768483793</v>
      </c>
      <c r="C26" s="2" t="s">
        <v>651</v>
      </c>
      <c r="D26" s="3" t="s">
        <v>159</v>
      </c>
      <c r="E26" s="3">
        <v>1993</v>
      </c>
      <c r="F26" s="3" t="s">
        <v>160</v>
      </c>
      <c r="G26" s="3" t="s">
        <v>13</v>
      </c>
      <c r="H26" s="3">
        <v>3</v>
      </c>
      <c r="I26" s="3" t="s">
        <v>41</v>
      </c>
      <c r="J26" s="3" t="s">
        <v>25</v>
      </c>
      <c r="K26" s="3" t="s">
        <v>13</v>
      </c>
      <c r="L26" s="3" t="s">
        <v>161</v>
      </c>
      <c r="M26" s="3" t="s">
        <v>17</v>
      </c>
      <c r="N26" s="3" t="s">
        <v>25</v>
      </c>
      <c r="O26">
        <v>3</v>
      </c>
    </row>
    <row r="27" spans="2:19" x14ac:dyDescent="0.2">
      <c r="B27" s="2">
        <v>43048.302860983793</v>
      </c>
      <c r="C27" s="2" t="s">
        <v>651</v>
      </c>
      <c r="D27" s="3" t="s">
        <v>162</v>
      </c>
      <c r="E27" s="3">
        <v>1983</v>
      </c>
      <c r="F27" s="3" t="s">
        <v>163</v>
      </c>
      <c r="G27" s="3" t="s">
        <v>13</v>
      </c>
      <c r="H27" s="3">
        <v>2</v>
      </c>
      <c r="I27" s="3" t="s">
        <v>20</v>
      </c>
      <c r="J27" s="3" t="s">
        <v>13</v>
      </c>
      <c r="K27" s="3" t="s">
        <v>25</v>
      </c>
      <c r="L27" s="3" t="s">
        <v>164</v>
      </c>
      <c r="M27" s="3" t="s">
        <v>146</v>
      </c>
      <c r="N27" s="3" t="s">
        <v>25</v>
      </c>
      <c r="O27">
        <v>2</v>
      </c>
    </row>
    <row r="28" spans="2:19" hidden="1" x14ac:dyDescent="0.2">
      <c r="B28" s="2">
        <v>43048.420464016206</v>
      </c>
      <c r="C28" s="2" t="s">
        <v>651</v>
      </c>
      <c r="D28" s="3" t="s">
        <v>172</v>
      </c>
      <c r="E28" s="3">
        <v>1992</v>
      </c>
      <c r="F28" s="3" t="s">
        <v>173</v>
      </c>
      <c r="G28" s="3" t="s">
        <v>13</v>
      </c>
      <c r="H28" s="3">
        <v>1</v>
      </c>
      <c r="I28" s="3" t="s">
        <v>174</v>
      </c>
      <c r="J28" s="3" t="s">
        <v>25</v>
      </c>
      <c r="K28" s="3" t="s">
        <v>25</v>
      </c>
      <c r="L28" s="3" t="s">
        <v>175</v>
      </c>
      <c r="M28" s="3" t="s">
        <v>176</v>
      </c>
      <c r="N28" s="3" t="s">
        <v>25</v>
      </c>
      <c r="O28">
        <v>1</v>
      </c>
    </row>
    <row r="29" spans="2:19" hidden="1" x14ac:dyDescent="0.2">
      <c r="B29" s="2">
        <v>43048.421286006946</v>
      </c>
      <c r="C29" s="2" t="s">
        <v>651</v>
      </c>
      <c r="D29" s="3" t="s">
        <v>177</v>
      </c>
      <c r="E29" s="3">
        <v>1992</v>
      </c>
      <c r="F29" s="3" t="s">
        <v>178</v>
      </c>
      <c r="G29" s="3" t="s">
        <v>13</v>
      </c>
      <c r="H29" s="3">
        <v>1</v>
      </c>
      <c r="I29" s="3" t="s">
        <v>35</v>
      </c>
      <c r="J29" s="3" t="s">
        <v>25</v>
      </c>
      <c r="K29" s="3" t="s">
        <v>25</v>
      </c>
      <c r="L29" s="3" t="s">
        <v>179</v>
      </c>
      <c r="M29" s="3" t="s">
        <v>176</v>
      </c>
      <c r="N29" s="3" t="s">
        <v>25</v>
      </c>
      <c r="O29">
        <v>1</v>
      </c>
    </row>
    <row r="30" spans="2:19" hidden="1" x14ac:dyDescent="0.2">
      <c r="B30" s="2">
        <v>43048.423103194444</v>
      </c>
      <c r="C30" s="2" t="s">
        <v>651</v>
      </c>
      <c r="D30" s="3" t="s">
        <v>180</v>
      </c>
      <c r="E30" s="3">
        <v>1972</v>
      </c>
      <c r="F30" s="3" t="s">
        <v>181</v>
      </c>
      <c r="G30" s="3" t="s">
        <v>13</v>
      </c>
      <c r="H30" s="3" t="s">
        <v>182</v>
      </c>
      <c r="I30" s="3" t="s">
        <v>141</v>
      </c>
      <c r="J30" s="3" t="s">
        <v>25</v>
      </c>
      <c r="K30" s="3" t="s">
        <v>13</v>
      </c>
      <c r="L30" s="3" t="s">
        <v>183</v>
      </c>
      <c r="M30" s="3" t="s">
        <v>184</v>
      </c>
      <c r="N30" s="3" t="s">
        <v>25</v>
      </c>
      <c r="O30">
        <v>1</v>
      </c>
    </row>
    <row r="31" spans="2:19" hidden="1" x14ac:dyDescent="0.2">
      <c r="B31" s="2">
        <v>43048.430851087964</v>
      </c>
      <c r="C31" s="2" t="s">
        <v>651</v>
      </c>
      <c r="D31" s="3" t="s">
        <v>185</v>
      </c>
      <c r="E31" s="3">
        <v>1988</v>
      </c>
      <c r="F31" s="3" t="s">
        <v>186</v>
      </c>
      <c r="G31" s="3" t="s">
        <v>13</v>
      </c>
      <c r="H31" s="3" t="s">
        <v>187</v>
      </c>
      <c r="I31" s="3" t="s">
        <v>188</v>
      </c>
      <c r="J31" s="3" t="s">
        <v>13</v>
      </c>
      <c r="K31" s="3" t="s">
        <v>13</v>
      </c>
      <c r="L31" s="3" t="s">
        <v>189</v>
      </c>
      <c r="M31" s="3" t="s">
        <v>17</v>
      </c>
      <c r="N31" s="3" t="s">
        <v>13</v>
      </c>
      <c r="O31">
        <v>1</v>
      </c>
      <c r="P31">
        <v>1</v>
      </c>
      <c r="R31">
        <v>200</v>
      </c>
      <c r="S31">
        <v>100</v>
      </c>
    </row>
    <row r="32" spans="2:19" hidden="1" x14ac:dyDescent="0.2">
      <c r="B32" s="2">
        <v>43048.458668923609</v>
      </c>
      <c r="C32" s="2" t="s">
        <v>651</v>
      </c>
      <c r="D32" s="3" t="s">
        <v>190</v>
      </c>
      <c r="E32" s="3">
        <v>2006</v>
      </c>
      <c r="F32" s="3" t="s">
        <v>191</v>
      </c>
      <c r="G32" s="3" t="s">
        <v>13</v>
      </c>
      <c r="H32" s="3">
        <v>1</v>
      </c>
      <c r="I32" s="3" t="s">
        <v>35</v>
      </c>
      <c r="J32" s="3" t="s">
        <v>25</v>
      </c>
      <c r="K32" s="3" t="s">
        <v>13</v>
      </c>
      <c r="L32" s="3" t="s">
        <v>192</v>
      </c>
      <c r="M32" s="3" t="s">
        <v>193</v>
      </c>
      <c r="N32" s="3" t="s">
        <v>25</v>
      </c>
      <c r="O32">
        <v>1</v>
      </c>
    </row>
    <row r="33" spans="2:19" hidden="1" x14ac:dyDescent="0.2">
      <c r="B33" s="2">
        <v>43048.465358263886</v>
      </c>
      <c r="C33" s="2" t="s">
        <v>651</v>
      </c>
      <c r="D33" s="3" t="s">
        <v>194</v>
      </c>
      <c r="E33" s="3">
        <v>2006</v>
      </c>
      <c r="F33" s="3" t="s">
        <v>195</v>
      </c>
      <c r="G33" s="3" t="s">
        <v>13</v>
      </c>
      <c r="H33" s="3">
        <v>1</v>
      </c>
      <c r="I33" s="3" t="s">
        <v>35</v>
      </c>
      <c r="J33" s="3" t="s">
        <v>25</v>
      </c>
      <c r="K33" s="3" t="s">
        <v>25</v>
      </c>
      <c r="L33" s="3" t="s">
        <v>196</v>
      </c>
      <c r="M33" s="3" t="s">
        <v>197</v>
      </c>
      <c r="N33" s="3" t="s">
        <v>25</v>
      </c>
      <c r="O33">
        <v>1</v>
      </c>
    </row>
    <row r="34" spans="2:19" hidden="1" x14ac:dyDescent="0.2">
      <c r="B34" s="2">
        <v>43048.466382673607</v>
      </c>
      <c r="C34" s="2" t="s">
        <v>651</v>
      </c>
      <c r="D34" s="3" t="s">
        <v>198</v>
      </c>
      <c r="E34" s="3">
        <v>1975</v>
      </c>
      <c r="F34" s="3" t="s">
        <v>199</v>
      </c>
      <c r="G34" s="3" t="s">
        <v>13</v>
      </c>
      <c r="H34" s="3" t="s">
        <v>101</v>
      </c>
      <c r="I34" s="3" t="s">
        <v>15</v>
      </c>
      <c r="J34" s="3" t="s">
        <v>13</v>
      </c>
      <c r="K34" s="3" t="s">
        <v>13</v>
      </c>
      <c r="L34" s="3" t="s">
        <v>200</v>
      </c>
      <c r="M34" s="3" t="s">
        <v>193</v>
      </c>
      <c r="N34" s="3" t="s">
        <v>13</v>
      </c>
      <c r="O34">
        <v>1</v>
      </c>
      <c r="R34">
        <v>200</v>
      </c>
      <c r="S34">
        <v>100</v>
      </c>
    </row>
    <row r="35" spans="2:19" hidden="1" x14ac:dyDescent="0.2">
      <c r="B35" s="2">
        <v>43048.466857060186</v>
      </c>
      <c r="C35" s="2" t="s">
        <v>651</v>
      </c>
      <c r="D35" s="3" t="s">
        <v>201</v>
      </c>
      <c r="E35" s="3">
        <v>2005</v>
      </c>
      <c r="F35" s="3" t="s">
        <v>202</v>
      </c>
      <c r="G35" s="3" t="s">
        <v>13</v>
      </c>
      <c r="H35" s="3" t="s">
        <v>203</v>
      </c>
      <c r="I35" s="3" t="s">
        <v>15</v>
      </c>
      <c r="J35" s="3" t="s">
        <v>25</v>
      </c>
      <c r="K35" s="3" t="s">
        <v>25</v>
      </c>
      <c r="L35" s="3" t="s">
        <v>204</v>
      </c>
      <c r="M35" s="3" t="s">
        <v>205</v>
      </c>
      <c r="N35" s="3" t="s">
        <v>25</v>
      </c>
      <c r="O35">
        <v>1</v>
      </c>
    </row>
    <row r="36" spans="2:19" hidden="1" x14ac:dyDescent="0.2">
      <c r="B36" s="2">
        <v>43048.480122928246</v>
      </c>
      <c r="C36" s="2" t="s">
        <v>651</v>
      </c>
      <c r="D36" s="3" t="s">
        <v>206</v>
      </c>
      <c r="E36" s="3">
        <v>1981</v>
      </c>
      <c r="F36" s="3" t="s">
        <v>207</v>
      </c>
      <c r="G36" s="3" t="s">
        <v>13</v>
      </c>
      <c r="H36" s="3">
        <v>1</v>
      </c>
      <c r="I36" s="3" t="s">
        <v>35</v>
      </c>
      <c r="J36" s="3" t="s">
        <v>13</v>
      </c>
      <c r="K36" s="3" t="s">
        <v>13</v>
      </c>
      <c r="L36" s="3" t="s">
        <v>208</v>
      </c>
      <c r="M36" s="3" t="s">
        <v>209</v>
      </c>
      <c r="N36" s="3" t="s">
        <v>13</v>
      </c>
      <c r="O36">
        <v>1</v>
      </c>
      <c r="R36">
        <v>200</v>
      </c>
      <c r="S36">
        <v>100</v>
      </c>
    </row>
    <row r="37" spans="2:19" x14ac:dyDescent="0.2">
      <c r="B37" s="2">
        <v>43048.559830868056</v>
      </c>
      <c r="C37" s="2" t="s">
        <v>651</v>
      </c>
      <c r="D37" s="3" t="s">
        <v>215</v>
      </c>
      <c r="E37" s="3">
        <v>1977</v>
      </c>
      <c r="F37" s="3" t="s">
        <v>216</v>
      </c>
      <c r="G37" s="3" t="s">
        <v>13</v>
      </c>
      <c r="H37" s="3">
        <v>1</v>
      </c>
      <c r="I37" s="3" t="s">
        <v>15</v>
      </c>
      <c r="J37" s="3" t="s">
        <v>13</v>
      </c>
      <c r="K37" s="3" t="s">
        <v>25</v>
      </c>
      <c r="L37" s="3" t="s">
        <v>217</v>
      </c>
      <c r="M37" s="3" t="s">
        <v>218</v>
      </c>
      <c r="N37" s="3" t="s">
        <v>13</v>
      </c>
      <c r="O37">
        <v>2</v>
      </c>
      <c r="R37">
        <v>400</v>
      </c>
      <c r="S37">
        <v>100</v>
      </c>
    </row>
    <row r="38" spans="2:19" hidden="1" x14ac:dyDescent="0.2">
      <c r="B38" s="2">
        <v>43048.636558865735</v>
      </c>
      <c r="C38" s="2" t="s">
        <v>651</v>
      </c>
      <c r="D38" s="3" t="s">
        <v>219</v>
      </c>
      <c r="E38" s="3">
        <v>1985</v>
      </c>
      <c r="F38" s="3" t="s">
        <v>220</v>
      </c>
      <c r="G38" s="3" t="s">
        <v>13</v>
      </c>
      <c r="H38" s="3" t="s">
        <v>221</v>
      </c>
      <c r="I38" s="3" t="s">
        <v>153</v>
      </c>
      <c r="J38" s="3" t="s">
        <v>13</v>
      </c>
      <c r="K38" s="3" t="s">
        <v>13</v>
      </c>
      <c r="L38" s="3" t="s">
        <v>222</v>
      </c>
      <c r="M38" s="3" t="s">
        <v>197</v>
      </c>
      <c r="N38" s="3" t="s">
        <v>13</v>
      </c>
      <c r="O38">
        <v>1</v>
      </c>
      <c r="R38">
        <v>200</v>
      </c>
      <c r="S38">
        <v>100</v>
      </c>
    </row>
    <row r="39" spans="2:19" hidden="1" x14ac:dyDescent="0.2">
      <c r="B39" s="2">
        <v>43048.790748298612</v>
      </c>
      <c r="C39" s="2" t="s">
        <v>651</v>
      </c>
      <c r="D39" s="3" t="s">
        <v>223</v>
      </c>
      <c r="E39" s="3">
        <v>1972</v>
      </c>
      <c r="F39" s="3" t="s">
        <v>224</v>
      </c>
      <c r="G39" s="3" t="s">
        <v>13</v>
      </c>
      <c r="H39" s="3" t="s">
        <v>101</v>
      </c>
      <c r="I39" s="3" t="s">
        <v>15</v>
      </c>
      <c r="J39" s="3" t="s">
        <v>13</v>
      </c>
      <c r="K39" s="3" t="s">
        <v>13</v>
      </c>
      <c r="L39" s="3" t="s">
        <v>225</v>
      </c>
      <c r="M39" s="3" t="s">
        <v>226</v>
      </c>
      <c r="N39" s="3" t="s">
        <v>13</v>
      </c>
      <c r="O39">
        <v>1</v>
      </c>
      <c r="R39">
        <v>200</v>
      </c>
      <c r="S39">
        <v>100</v>
      </c>
    </row>
    <row r="40" spans="2:19" hidden="1" x14ac:dyDescent="0.2">
      <c r="B40" s="2">
        <v>43048.894039664352</v>
      </c>
      <c r="C40" s="2" t="s">
        <v>651</v>
      </c>
      <c r="D40" s="3" t="s">
        <v>227</v>
      </c>
      <c r="E40" s="3">
        <v>1999</v>
      </c>
      <c r="F40" s="3" t="s">
        <v>228</v>
      </c>
      <c r="G40" s="3" t="s">
        <v>13</v>
      </c>
      <c r="H40" s="3">
        <v>1</v>
      </c>
      <c r="I40" s="3" t="s">
        <v>41</v>
      </c>
      <c r="J40" s="3" t="s">
        <v>25</v>
      </c>
      <c r="K40" s="3" t="s">
        <v>13</v>
      </c>
      <c r="L40" s="3" t="s">
        <v>229</v>
      </c>
      <c r="M40" s="3" t="s">
        <v>230</v>
      </c>
      <c r="N40" s="3" t="s">
        <v>25</v>
      </c>
      <c r="O40">
        <v>1</v>
      </c>
    </row>
    <row r="41" spans="2:19" hidden="1" x14ac:dyDescent="0.2">
      <c r="B41" s="2">
        <v>43048.929119780092</v>
      </c>
      <c r="C41" s="2" t="s">
        <v>651</v>
      </c>
      <c r="D41" s="3" t="s">
        <v>235</v>
      </c>
      <c r="E41" s="3">
        <v>1995</v>
      </c>
      <c r="F41" s="3" t="s">
        <v>236</v>
      </c>
      <c r="G41" s="3" t="s">
        <v>13</v>
      </c>
      <c r="H41" s="3" t="s">
        <v>40</v>
      </c>
      <c r="I41" s="3" t="s">
        <v>141</v>
      </c>
      <c r="J41" s="3" t="s">
        <v>13</v>
      </c>
      <c r="K41" s="3" t="s">
        <v>13</v>
      </c>
      <c r="L41" s="3" t="s">
        <v>237</v>
      </c>
      <c r="M41" s="3" t="s">
        <v>17</v>
      </c>
      <c r="N41" s="3" t="s">
        <v>13</v>
      </c>
      <c r="O41">
        <v>1</v>
      </c>
      <c r="R41">
        <v>200</v>
      </c>
      <c r="S41">
        <v>100</v>
      </c>
    </row>
    <row r="42" spans="2:19" hidden="1" x14ac:dyDescent="0.2">
      <c r="B42" s="2">
        <v>43048.930493472217</v>
      </c>
      <c r="C42" s="2" t="s">
        <v>651</v>
      </c>
      <c r="D42" s="3" t="s">
        <v>238</v>
      </c>
      <c r="E42" s="3">
        <v>1966</v>
      </c>
      <c r="F42" s="3" t="s">
        <v>239</v>
      </c>
      <c r="G42" s="3" t="s">
        <v>13</v>
      </c>
      <c r="H42" s="3" t="s">
        <v>40</v>
      </c>
      <c r="I42" s="3" t="s">
        <v>141</v>
      </c>
      <c r="J42" s="3" t="s">
        <v>13</v>
      </c>
      <c r="K42" s="3" t="s">
        <v>13</v>
      </c>
      <c r="L42" s="3" t="s">
        <v>237</v>
      </c>
      <c r="M42" s="3" t="s">
        <v>240</v>
      </c>
      <c r="N42" s="3" t="s">
        <v>13</v>
      </c>
      <c r="O42">
        <v>1</v>
      </c>
      <c r="R42">
        <v>200</v>
      </c>
      <c r="S42">
        <v>100</v>
      </c>
    </row>
    <row r="43" spans="2:19" hidden="1" x14ac:dyDescent="0.2">
      <c r="B43" s="2">
        <v>43048.93191028935</v>
      </c>
      <c r="C43" s="2" t="s">
        <v>651</v>
      </c>
      <c r="D43" s="3" t="s">
        <v>241</v>
      </c>
      <c r="E43" s="3">
        <v>1954</v>
      </c>
      <c r="F43" s="3" t="s">
        <v>242</v>
      </c>
      <c r="G43" s="3" t="s">
        <v>13</v>
      </c>
      <c r="H43" s="3" t="s">
        <v>40</v>
      </c>
      <c r="I43" s="3" t="s">
        <v>141</v>
      </c>
      <c r="J43" s="3" t="s">
        <v>13</v>
      </c>
      <c r="K43" s="3" t="s">
        <v>13</v>
      </c>
      <c r="L43" s="3" t="s">
        <v>237</v>
      </c>
      <c r="M43" s="3" t="s">
        <v>17</v>
      </c>
      <c r="N43" s="3" t="s">
        <v>13</v>
      </c>
      <c r="O43">
        <v>1</v>
      </c>
      <c r="R43">
        <v>200</v>
      </c>
      <c r="S43">
        <v>100</v>
      </c>
    </row>
    <row r="44" spans="2:19" x14ac:dyDescent="0.2">
      <c r="B44" s="2">
        <v>43048.947513472223</v>
      </c>
      <c r="C44" s="2" t="s">
        <v>651</v>
      </c>
      <c r="D44" s="3" t="s">
        <v>243</v>
      </c>
      <c r="E44" s="3">
        <v>1957</v>
      </c>
      <c r="F44" s="3" t="s">
        <v>244</v>
      </c>
      <c r="G44" s="3" t="s">
        <v>13</v>
      </c>
      <c r="H44" s="3" t="s">
        <v>245</v>
      </c>
      <c r="I44" s="3" t="s">
        <v>41</v>
      </c>
      <c r="J44" s="3" t="s">
        <v>13</v>
      </c>
      <c r="K44" s="3" t="s">
        <v>25</v>
      </c>
      <c r="L44" s="3" t="s">
        <v>246</v>
      </c>
      <c r="M44" s="3" t="s">
        <v>247</v>
      </c>
      <c r="N44" s="3" t="s">
        <v>25</v>
      </c>
      <c r="O44">
        <v>1</v>
      </c>
    </row>
    <row r="45" spans="2:19" hidden="1" x14ac:dyDescent="0.2">
      <c r="B45" s="2">
        <v>43048.971371296298</v>
      </c>
      <c r="C45" s="2" t="s">
        <v>651</v>
      </c>
      <c r="D45" s="3" t="s">
        <v>248</v>
      </c>
      <c r="E45" s="3">
        <v>1977</v>
      </c>
      <c r="F45" s="3" t="s">
        <v>249</v>
      </c>
      <c r="G45" s="3" t="s">
        <v>13</v>
      </c>
      <c r="H45" s="3" t="s">
        <v>250</v>
      </c>
      <c r="I45" s="3" t="s">
        <v>141</v>
      </c>
      <c r="J45" s="3" t="s">
        <v>13</v>
      </c>
      <c r="K45" s="3" t="s">
        <v>13</v>
      </c>
      <c r="L45" s="3" t="s">
        <v>251</v>
      </c>
      <c r="M45" s="3" t="s">
        <v>252</v>
      </c>
      <c r="N45" s="3" t="s">
        <v>13</v>
      </c>
      <c r="O45">
        <v>1</v>
      </c>
      <c r="R45">
        <v>200</v>
      </c>
      <c r="S45">
        <v>100</v>
      </c>
    </row>
    <row r="46" spans="2:19" hidden="1" x14ac:dyDescent="0.2">
      <c r="B46" s="2">
        <v>43049.353750671296</v>
      </c>
      <c r="C46" s="2" t="s">
        <v>651</v>
      </c>
      <c r="D46" s="3" t="s">
        <v>253</v>
      </c>
      <c r="E46" s="3">
        <v>1974</v>
      </c>
      <c r="F46" s="3" t="s">
        <v>254</v>
      </c>
      <c r="G46" s="3" t="s">
        <v>13</v>
      </c>
      <c r="H46" s="3" t="s">
        <v>92</v>
      </c>
      <c r="I46" s="3" t="s">
        <v>15</v>
      </c>
      <c r="J46" s="3" t="s">
        <v>13</v>
      </c>
      <c r="K46" s="3" t="s">
        <v>13</v>
      </c>
      <c r="L46" s="3" t="s">
        <v>255</v>
      </c>
      <c r="M46" s="3" t="s">
        <v>17</v>
      </c>
      <c r="N46" s="3" t="s">
        <v>13</v>
      </c>
      <c r="O46">
        <v>1</v>
      </c>
      <c r="R46">
        <v>200</v>
      </c>
      <c r="S46">
        <v>100</v>
      </c>
    </row>
    <row r="47" spans="2:19" hidden="1" x14ac:dyDescent="0.2">
      <c r="B47" s="2">
        <v>43049.363256412034</v>
      </c>
      <c r="C47" s="2" t="s">
        <v>651</v>
      </c>
      <c r="D47" s="3" t="s">
        <v>256</v>
      </c>
      <c r="E47" s="3">
        <v>1981</v>
      </c>
      <c r="F47" s="3">
        <v>449789817676</v>
      </c>
      <c r="G47" s="3" t="s">
        <v>13</v>
      </c>
      <c r="H47" s="3" t="s">
        <v>257</v>
      </c>
      <c r="I47" s="3" t="s">
        <v>141</v>
      </c>
      <c r="J47" s="3" t="s">
        <v>25</v>
      </c>
      <c r="K47" s="3" t="s">
        <v>13</v>
      </c>
      <c r="L47" s="3" t="s">
        <v>258</v>
      </c>
      <c r="M47" s="3" t="s">
        <v>259</v>
      </c>
      <c r="N47" s="3" t="s">
        <v>25</v>
      </c>
      <c r="O47">
        <v>4</v>
      </c>
    </row>
    <row r="48" spans="2:19" x14ac:dyDescent="0.2">
      <c r="B48" s="2">
        <v>43049.712474155094</v>
      </c>
      <c r="C48" s="2" t="s">
        <v>651</v>
      </c>
      <c r="D48" s="3" t="s">
        <v>260</v>
      </c>
      <c r="E48" s="3">
        <v>1971</v>
      </c>
      <c r="F48" s="3" t="s">
        <v>261</v>
      </c>
      <c r="G48" s="3" t="s">
        <v>13</v>
      </c>
      <c r="H48" s="3" t="s">
        <v>101</v>
      </c>
      <c r="I48" s="3" t="s">
        <v>35</v>
      </c>
      <c r="J48" s="3" t="s">
        <v>13</v>
      </c>
      <c r="K48" s="3" t="s">
        <v>25</v>
      </c>
      <c r="L48" s="3" t="s">
        <v>262</v>
      </c>
      <c r="M48" s="3" t="s">
        <v>84</v>
      </c>
      <c r="N48" s="3" t="s">
        <v>25</v>
      </c>
      <c r="O48">
        <v>1</v>
      </c>
    </row>
    <row r="49" spans="2:19" hidden="1" x14ac:dyDescent="0.2">
      <c r="B49" s="2">
        <v>43050.49918392361</v>
      </c>
      <c r="C49" s="2" t="s">
        <v>651</v>
      </c>
      <c r="D49" s="3" t="s">
        <v>263</v>
      </c>
      <c r="E49" s="3">
        <v>1976</v>
      </c>
      <c r="F49" s="3" t="s">
        <v>264</v>
      </c>
      <c r="G49" s="3" t="s">
        <v>13</v>
      </c>
      <c r="H49" s="3" t="s">
        <v>81</v>
      </c>
      <c r="I49" s="3" t="s">
        <v>41</v>
      </c>
      <c r="J49" s="3" t="s">
        <v>13</v>
      </c>
      <c r="K49" s="3" t="s">
        <v>13</v>
      </c>
      <c r="L49" s="3" t="s">
        <v>265</v>
      </c>
      <c r="M49" s="3" t="s">
        <v>17</v>
      </c>
      <c r="N49" s="3" t="s">
        <v>13</v>
      </c>
      <c r="O49">
        <v>2</v>
      </c>
      <c r="R49">
        <v>400</v>
      </c>
      <c r="S49">
        <v>100</v>
      </c>
    </row>
    <row r="50" spans="2:19" hidden="1" x14ac:dyDescent="0.2">
      <c r="B50" s="2">
        <v>43050.766600115741</v>
      </c>
      <c r="C50" s="2" t="s">
        <v>651</v>
      </c>
      <c r="D50" s="3" t="s">
        <v>266</v>
      </c>
      <c r="E50" s="3">
        <v>1983</v>
      </c>
      <c r="F50" s="3" t="s">
        <v>267</v>
      </c>
      <c r="G50" s="3" t="s">
        <v>13</v>
      </c>
      <c r="H50" s="3">
        <v>0</v>
      </c>
      <c r="I50" s="3" t="s">
        <v>35</v>
      </c>
      <c r="J50" s="3" t="s">
        <v>25</v>
      </c>
      <c r="K50" s="3" t="s">
        <v>25</v>
      </c>
      <c r="L50" s="3" t="s">
        <v>268</v>
      </c>
      <c r="M50" s="3" t="s">
        <v>193</v>
      </c>
      <c r="N50" s="3" t="s">
        <v>25</v>
      </c>
      <c r="O50">
        <v>1</v>
      </c>
    </row>
    <row r="51" spans="2:19" hidden="1" x14ac:dyDescent="0.2">
      <c r="B51" s="2">
        <v>43050.766604375</v>
      </c>
      <c r="C51" s="2" t="s">
        <v>651</v>
      </c>
      <c r="D51" s="3" t="s">
        <v>266</v>
      </c>
      <c r="E51" s="3">
        <v>1983</v>
      </c>
      <c r="F51" s="3" t="s">
        <v>267</v>
      </c>
      <c r="G51" s="3" t="s">
        <v>13</v>
      </c>
      <c r="H51" s="3">
        <v>0</v>
      </c>
      <c r="I51" s="3" t="s">
        <v>35</v>
      </c>
      <c r="J51" s="3" t="s">
        <v>25</v>
      </c>
      <c r="K51" s="3" t="s">
        <v>25</v>
      </c>
      <c r="L51" s="3" t="s">
        <v>268</v>
      </c>
      <c r="M51" s="3" t="s">
        <v>193</v>
      </c>
      <c r="N51" s="3" t="s">
        <v>25</v>
      </c>
      <c r="O51">
        <v>1</v>
      </c>
    </row>
    <row r="52" spans="2:19" hidden="1" x14ac:dyDescent="0.2">
      <c r="B52" s="2">
        <v>43050.782382372687</v>
      </c>
      <c r="C52" s="2" t="s">
        <v>651</v>
      </c>
      <c r="D52" s="3" t="s">
        <v>269</v>
      </c>
      <c r="E52" s="3">
        <v>1976</v>
      </c>
      <c r="F52" s="3" t="s">
        <v>270</v>
      </c>
      <c r="G52" s="3" t="s">
        <v>13</v>
      </c>
      <c r="H52" s="3">
        <v>1</v>
      </c>
      <c r="I52" s="3" t="s">
        <v>15</v>
      </c>
      <c r="J52" s="3" t="s">
        <v>13</v>
      </c>
      <c r="K52" s="3" t="s">
        <v>13</v>
      </c>
      <c r="L52" s="3" t="s">
        <v>271</v>
      </c>
      <c r="M52" s="3" t="s">
        <v>59</v>
      </c>
      <c r="N52" s="3" t="s">
        <v>13</v>
      </c>
      <c r="O52">
        <v>1</v>
      </c>
      <c r="R52">
        <v>200</v>
      </c>
      <c r="S52">
        <v>100</v>
      </c>
    </row>
    <row r="53" spans="2:19" hidden="1" x14ac:dyDescent="0.2">
      <c r="B53" s="2">
        <v>43050.87143162037</v>
      </c>
      <c r="C53" s="2" t="s">
        <v>651</v>
      </c>
      <c r="D53" s="3" t="s">
        <v>272</v>
      </c>
      <c r="E53" s="3">
        <v>1981</v>
      </c>
      <c r="F53" s="3" t="s">
        <v>273</v>
      </c>
      <c r="G53" s="3" t="s">
        <v>13</v>
      </c>
      <c r="H53" s="3" t="s">
        <v>274</v>
      </c>
      <c r="I53" s="3" t="s">
        <v>275</v>
      </c>
      <c r="J53" s="3" t="s">
        <v>25</v>
      </c>
      <c r="K53" s="3" t="s">
        <v>25</v>
      </c>
      <c r="L53" s="3" t="s">
        <v>276</v>
      </c>
      <c r="M53" s="3" t="s">
        <v>59</v>
      </c>
      <c r="N53" s="3" t="s">
        <v>25</v>
      </c>
      <c r="O53">
        <v>3</v>
      </c>
    </row>
    <row r="54" spans="2:19" hidden="1" x14ac:dyDescent="0.2">
      <c r="B54" s="2">
        <v>43051.471701944443</v>
      </c>
      <c r="C54" s="2" t="s">
        <v>651</v>
      </c>
      <c r="D54" s="3" t="s">
        <v>277</v>
      </c>
      <c r="E54" s="3">
        <v>1957</v>
      </c>
      <c r="F54" s="3" t="s">
        <v>278</v>
      </c>
      <c r="G54" s="3" t="s">
        <v>13</v>
      </c>
      <c r="H54" s="3" t="s">
        <v>101</v>
      </c>
      <c r="I54" s="3" t="s">
        <v>279</v>
      </c>
      <c r="J54" s="3" t="s">
        <v>25</v>
      </c>
      <c r="K54" s="3" t="s">
        <v>13</v>
      </c>
      <c r="L54" s="3" t="s">
        <v>280</v>
      </c>
      <c r="M54" s="3" t="s">
        <v>226</v>
      </c>
      <c r="N54" s="3" t="s">
        <v>25</v>
      </c>
      <c r="O54">
        <v>1</v>
      </c>
    </row>
    <row r="55" spans="2:19" hidden="1" x14ac:dyDescent="0.2">
      <c r="B55" s="2">
        <v>43051.490976458328</v>
      </c>
      <c r="C55" s="2" t="s">
        <v>651</v>
      </c>
      <c r="D55" s="3" t="s">
        <v>277</v>
      </c>
      <c r="E55" s="3">
        <v>1957</v>
      </c>
      <c r="F55" s="3" t="s">
        <v>281</v>
      </c>
      <c r="G55" s="3" t="s">
        <v>13</v>
      </c>
      <c r="H55" s="3" t="s">
        <v>282</v>
      </c>
      <c r="I55" s="3" t="s">
        <v>279</v>
      </c>
      <c r="J55" s="3" t="s">
        <v>25</v>
      </c>
      <c r="K55" s="3" t="s">
        <v>13</v>
      </c>
      <c r="L55" s="3" t="s">
        <v>280</v>
      </c>
      <c r="M55" s="3" t="s">
        <v>226</v>
      </c>
      <c r="N55" s="3" t="s">
        <v>25</v>
      </c>
      <c r="O55">
        <v>1</v>
      </c>
    </row>
    <row r="56" spans="2:19" hidden="1" x14ac:dyDescent="0.2">
      <c r="B56" s="2">
        <v>43051.747110046301</v>
      </c>
      <c r="C56" s="2" t="s">
        <v>651</v>
      </c>
      <c r="D56" s="3" t="s">
        <v>287</v>
      </c>
      <c r="E56" s="3">
        <v>1980</v>
      </c>
      <c r="F56" s="3" t="s">
        <v>288</v>
      </c>
      <c r="G56" s="3" t="s">
        <v>13</v>
      </c>
      <c r="H56" s="3">
        <v>2</v>
      </c>
      <c r="I56" s="3" t="s">
        <v>289</v>
      </c>
      <c r="J56" s="3" t="s">
        <v>13</v>
      </c>
      <c r="K56" s="3" t="s">
        <v>13</v>
      </c>
      <c r="L56" s="3" t="s">
        <v>290</v>
      </c>
      <c r="M56" s="3" t="s">
        <v>59</v>
      </c>
      <c r="N56" s="3" t="s">
        <v>13</v>
      </c>
      <c r="O56">
        <v>2</v>
      </c>
      <c r="R56">
        <v>400</v>
      </c>
      <c r="S56">
        <v>100</v>
      </c>
    </row>
    <row r="57" spans="2:19" x14ac:dyDescent="0.2">
      <c r="B57" s="2">
        <v>43052.521841747686</v>
      </c>
      <c r="C57" s="2" t="s">
        <v>651</v>
      </c>
      <c r="D57" s="3" t="s">
        <v>291</v>
      </c>
      <c r="E57" s="3">
        <v>1982</v>
      </c>
      <c r="F57" s="3" t="s">
        <v>292</v>
      </c>
      <c r="G57" s="3" t="s">
        <v>13</v>
      </c>
      <c r="H57" s="3" t="s">
        <v>101</v>
      </c>
      <c r="I57" s="3" t="s">
        <v>41</v>
      </c>
      <c r="J57" s="3" t="s">
        <v>13</v>
      </c>
      <c r="K57" s="3" t="s">
        <v>25</v>
      </c>
      <c r="L57" s="3" t="s">
        <v>293</v>
      </c>
      <c r="M57" s="3" t="s">
        <v>294</v>
      </c>
      <c r="N57" s="3" t="s">
        <v>25</v>
      </c>
      <c r="O57">
        <v>1</v>
      </c>
    </row>
    <row r="58" spans="2:19" x14ac:dyDescent="0.2">
      <c r="B58" s="2">
        <v>43052.526836377314</v>
      </c>
      <c r="C58" s="2" t="s">
        <v>651</v>
      </c>
      <c r="D58" s="3" t="s">
        <v>295</v>
      </c>
      <c r="E58" s="3">
        <v>1985</v>
      </c>
      <c r="F58" s="3" t="s">
        <v>296</v>
      </c>
      <c r="G58" s="3" t="s">
        <v>13</v>
      </c>
      <c r="H58" s="3">
        <v>1</v>
      </c>
      <c r="I58" s="3" t="s">
        <v>297</v>
      </c>
      <c r="J58" s="3" t="s">
        <v>13</v>
      </c>
      <c r="K58" s="3" t="s">
        <v>25</v>
      </c>
      <c r="L58" s="3" t="s">
        <v>298</v>
      </c>
      <c r="M58" s="3" t="s">
        <v>84</v>
      </c>
      <c r="N58" s="3" t="s">
        <v>25</v>
      </c>
      <c r="O58">
        <v>1</v>
      </c>
    </row>
    <row r="59" spans="2:19" x14ac:dyDescent="0.2">
      <c r="B59" s="2">
        <v>43052.530180821763</v>
      </c>
      <c r="C59" s="2" t="s">
        <v>651</v>
      </c>
      <c r="D59" s="3" t="s">
        <v>299</v>
      </c>
      <c r="E59" s="3">
        <v>1985</v>
      </c>
      <c r="F59" s="3" t="s">
        <v>300</v>
      </c>
      <c r="G59" s="3" t="s">
        <v>13</v>
      </c>
      <c r="H59" s="3">
        <v>1</v>
      </c>
      <c r="I59" s="3" t="s">
        <v>297</v>
      </c>
      <c r="J59" s="3" t="s">
        <v>13</v>
      </c>
      <c r="K59" s="3" t="s">
        <v>25</v>
      </c>
      <c r="L59" s="3" t="s">
        <v>301</v>
      </c>
      <c r="M59" s="3" t="s">
        <v>59</v>
      </c>
      <c r="N59" s="3" t="s">
        <v>25</v>
      </c>
      <c r="O59">
        <v>1</v>
      </c>
    </row>
    <row r="60" spans="2:19" x14ac:dyDescent="0.2">
      <c r="B60" s="2">
        <v>43052.531692743054</v>
      </c>
      <c r="C60" s="2" t="s">
        <v>651</v>
      </c>
      <c r="D60" s="3" t="s">
        <v>302</v>
      </c>
      <c r="E60" s="3">
        <v>1985</v>
      </c>
      <c r="F60" s="3" t="s">
        <v>300</v>
      </c>
      <c r="G60" s="3" t="s">
        <v>13</v>
      </c>
      <c r="H60" s="3">
        <v>1</v>
      </c>
      <c r="I60" s="3" t="s">
        <v>297</v>
      </c>
      <c r="J60" s="3" t="s">
        <v>13</v>
      </c>
      <c r="K60" s="3" t="s">
        <v>25</v>
      </c>
      <c r="L60" s="3" t="s">
        <v>298</v>
      </c>
      <c r="M60" s="3" t="s">
        <v>59</v>
      </c>
      <c r="N60" s="3" t="s">
        <v>25</v>
      </c>
      <c r="O60">
        <v>1</v>
      </c>
    </row>
    <row r="61" spans="2:19" x14ac:dyDescent="0.2">
      <c r="B61" s="2">
        <v>43052.532887673609</v>
      </c>
      <c r="C61" s="2" t="s">
        <v>651</v>
      </c>
      <c r="D61" s="3" t="s">
        <v>303</v>
      </c>
      <c r="E61" s="3">
        <v>1985</v>
      </c>
      <c r="F61" s="3" t="s">
        <v>296</v>
      </c>
      <c r="G61" s="3" t="s">
        <v>13</v>
      </c>
      <c r="H61" s="3">
        <v>1</v>
      </c>
      <c r="I61" s="3" t="s">
        <v>304</v>
      </c>
      <c r="J61" s="3" t="s">
        <v>13</v>
      </c>
      <c r="K61" s="3" t="s">
        <v>25</v>
      </c>
      <c r="L61" s="3" t="s">
        <v>298</v>
      </c>
      <c r="M61" s="3" t="s">
        <v>59</v>
      </c>
      <c r="N61" s="3" t="s">
        <v>25</v>
      </c>
      <c r="O61">
        <v>1</v>
      </c>
    </row>
    <row r="62" spans="2:19" hidden="1" x14ac:dyDescent="0.2">
      <c r="B62" s="2">
        <v>43052.884442627314</v>
      </c>
      <c r="C62" s="2" t="s">
        <v>651</v>
      </c>
      <c r="D62" s="3" t="s">
        <v>305</v>
      </c>
      <c r="E62" s="3">
        <v>1977</v>
      </c>
      <c r="F62" s="3" t="s">
        <v>306</v>
      </c>
      <c r="G62" s="3" t="s">
        <v>13</v>
      </c>
      <c r="H62" s="3" t="s">
        <v>307</v>
      </c>
      <c r="I62" s="3" t="s">
        <v>308</v>
      </c>
      <c r="J62" s="3" t="s">
        <v>13</v>
      </c>
      <c r="K62" s="3" t="s">
        <v>13</v>
      </c>
      <c r="L62" s="3" t="s">
        <v>309</v>
      </c>
      <c r="M62" s="3" t="s">
        <v>310</v>
      </c>
      <c r="N62" s="3" t="s">
        <v>13</v>
      </c>
      <c r="O62">
        <v>1</v>
      </c>
      <c r="R62">
        <v>200</v>
      </c>
      <c r="S62">
        <v>100</v>
      </c>
    </row>
    <row r="63" spans="2:19" hidden="1" x14ac:dyDescent="0.2">
      <c r="B63" s="2">
        <v>43053.593694189811</v>
      </c>
      <c r="C63" s="2" t="s">
        <v>651</v>
      </c>
      <c r="D63" s="3" t="s">
        <v>311</v>
      </c>
      <c r="E63" s="3">
        <v>1985</v>
      </c>
      <c r="F63" s="3">
        <v>919677111806</v>
      </c>
      <c r="G63" s="3" t="s">
        <v>13</v>
      </c>
      <c r="H63" s="3" t="s">
        <v>221</v>
      </c>
      <c r="I63" s="3" t="s">
        <v>35</v>
      </c>
      <c r="J63" s="3" t="s">
        <v>13</v>
      </c>
      <c r="K63" s="3" t="s">
        <v>13</v>
      </c>
      <c r="L63" s="3" t="s">
        <v>312</v>
      </c>
      <c r="M63" s="3" t="s">
        <v>313</v>
      </c>
      <c r="N63" s="3" t="s">
        <v>13</v>
      </c>
      <c r="O63">
        <v>1</v>
      </c>
      <c r="R63">
        <v>200</v>
      </c>
      <c r="S63">
        <v>100</v>
      </c>
    </row>
    <row r="64" spans="2:19" hidden="1" x14ac:dyDescent="0.2">
      <c r="B64" s="2">
        <v>43054.345514618057</v>
      </c>
      <c r="C64" s="2" t="s">
        <v>651</v>
      </c>
      <c r="D64" s="3" t="s">
        <v>314</v>
      </c>
      <c r="E64" s="3">
        <v>2002</v>
      </c>
      <c r="F64" s="3" t="s">
        <v>315</v>
      </c>
      <c r="G64" s="3" t="s">
        <v>13</v>
      </c>
      <c r="H64" s="3">
        <v>1</v>
      </c>
      <c r="I64" s="3" t="s">
        <v>15</v>
      </c>
      <c r="J64" s="3" t="s">
        <v>25</v>
      </c>
      <c r="K64" s="3" t="s">
        <v>13</v>
      </c>
      <c r="L64" s="3" t="s">
        <v>316</v>
      </c>
      <c r="M64" s="3" t="s">
        <v>59</v>
      </c>
      <c r="N64" s="3" t="s">
        <v>25</v>
      </c>
      <c r="O64">
        <v>1</v>
      </c>
    </row>
    <row r="65" spans="2:19" hidden="1" x14ac:dyDescent="0.2">
      <c r="B65" s="2">
        <v>43054.409396365736</v>
      </c>
      <c r="C65" s="2" t="s">
        <v>651</v>
      </c>
      <c r="D65" s="3" t="s">
        <v>317</v>
      </c>
      <c r="E65" s="3">
        <v>1962</v>
      </c>
      <c r="F65" s="3" t="s">
        <v>318</v>
      </c>
      <c r="G65" s="3" t="s">
        <v>13</v>
      </c>
      <c r="H65" s="3">
        <v>2</v>
      </c>
      <c r="I65" s="3" t="s">
        <v>20</v>
      </c>
      <c r="J65" s="3" t="s">
        <v>13</v>
      </c>
      <c r="K65" s="3" t="s">
        <v>13</v>
      </c>
      <c r="L65" s="3" t="s">
        <v>319</v>
      </c>
      <c r="M65" s="3" t="s">
        <v>320</v>
      </c>
      <c r="N65" s="3" t="s">
        <v>13</v>
      </c>
      <c r="O65">
        <v>2</v>
      </c>
      <c r="R65">
        <v>400</v>
      </c>
      <c r="S65">
        <v>100</v>
      </c>
    </row>
    <row r="66" spans="2:19" hidden="1" x14ac:dyDescent="0.2">
      <c r="B66" s="2">
        <v>43054.666877418982</v>
      </c>
      <c r="C66" s="2" t="s">
        <v>651</v>
      </c>
      <c r="D66" s="3" t="s">
        <v>321</v>
      </c>
      <c r="E66" s="3">
        <v>1988</v>
      </c>
      <c r="F66" s="3" t="s">
        <v>322</v>
      </c>
      <c r="G66" s="3" t="s">
        <v>13</v>
      </c>
      <c r="H66" s="3" t="s">
        <v>323</v>
      </c>
      <c r="I66" s="3" t="s">
        <v>15</v>
      </c>
      <c r="J66" s="3" t="s">
        <v>13</v>
      </c>
      <c r="K66" s="3" t="s">
        <v>13</v>
      </c>
      <c r="L66" s="3" t="s">
        <v>324</v>
      </c>
      <c r="M66" s="3" t="s">
        <v>59</v>
      </c>
      <c r="N66" s="3" t="s">
        <v>13</v>
      </c>
      <c r="O66">
        <v>2</v>
      </c>
      <c r="R66">
        <v>400</v>
      </c>
      <c r="S66">
        <v>100</v>
      </c>
    </row>
    <row r="67" spans="2:19" hidden="1" x14ac:dyDescent="0.2">
      <c r="B67" s="2">
        <v>43054.8170359375</v>
      </c>
      <c r="C67" s="2" t="s">
        <v>651</v>
      </c>
      <c r="D67" s="3" t="s">
        <v>325</v>
      </c>
      <c r="E67" s="3">
        <v>1964</v>
      </c>
      <c r="F67" s="3">
        <v>919840113782</v>
      </c>
      <c r="G67" s="3" t="s">
        <v>13</v>
      </c>
      <c r="H67" s="3">
        <v>3</v>
      </c>
      <c r="I67" s="3" t="s">
        <v>35</v>
      </c>
      <c r="J67" s="3" t="s">
        <v>13</v>
      </c>
      <c r="K67" s="3" t="s">
        <v>13</v>
      </c>
      <c r="L67" s="3" t="s">
        <v>326</v>
      </c>
      <c r="M67" s="3" t="s">
        <v>59</v>
      </c>
      <c r="N67" s="3" t="s">
        <v>13</v>
      </c>
      <c r="O67">
        <v>3</v>
      </c>
      <c r="R67">
        <v>600</v>
      </c>
      <c r="S67">
        <v>100</v>
      </c>
    </row>
    <row r="68" spans="2:19" hidden="1" x14ac:dyDescent="0.2">
      <c r="B68" s="2">
        <v>43055.527546145837</v>
      </c>
      <c r="C68" s="2" t="s">
        <v>651</v>
      </c>
      <c r="D68" s="3" t="s">
        <v>327</v>
      </c>
      <c r="E68" s="3">
        <v>1966</v>
      </c>
      <c r="F68" s="3" t="s">
        <v>328</v>
      </c>
      <c r="G68" s="3" t="s">
        <v>13</v>
      </c>
      <c r="H68" s="3" t="s">
        <v>101</v>
      </c>
      <c r="I68" s="3" t="s">
        <v>41</v>
      </c>
      <c r="J68" s="3" t="s">
        <v>25</v>
      </c>
      <c r="K68" s="3" t="s">
        <v>25</v>
      </c>
      <c r="L68" s="3" t="s">
        <v>329</v>
      </c>
      <c r="M68" s="3" t="s">
        <v>17</v>
      </c>
      <c r="N68" s="3" t="s">
        <v>13</v>
      </c>
      <c r="O68">
        <v>1</v>
      </c>
      <c r="Q68" s="3" t="s">
        <v>724</v>
      </c>
      <c r="R68">
        <v>200</v>
      </c>
      <c r="S68">
        <v>100</v>
      </c>
    </row>
    <row r="69" spans="2:19" hidden="1" x14ac:dyDescent="0.2">
      <c r="B69" s="2">
        <v>43055.773026932875</v>
      </c>
      <c r="C69" s="2" t="s">
        <v>651</v>
      </c>
      <c r="D69" s="3" t="s">
        <v>330</v>
      </c>
      <c r="E69" s="3">
        <v>1982</v>
      </c>
      <c r="F69" s="3" t="s">
        <v>331</v>
      </c>
      <c r="G69" s="3" t="s">
        <v>13</v>
      </c>
      <c r="H69" s="3" t="s">
        <v>101</v>
      </c>
      <c r="I69" s="3" t="s">
        <v>141</v>
      </c>
      <c r="J69" s="3" t="s">
        <v>25</v>
      </c>
      <c r="K69" s="3" t="s">
        <v>25</v>
      </c>
      <c r="L69" s="3" t="s">
        <v>332</v>
      </c>
      <c r="M69" s="3" t="s">
        <v>17</v>
      </c>
      <c r="N69" s="3" t="s">
        <v>25</v>
      </c>
      <c r="O69">
        <v>1</v>
      </c>
    </row>
    <row r="70" spans="2:19" hidden="1" x14ac:dyDescent="0.2">
      <c r="B70" s="2">
        <v>43055.802225983796</v>
      </c>
      <c r="C70" s="2" t="s">
        <v>651</v>
      </c>
      <c r="D70" s="3" t="s">
        <v>333</v>
      </c>
      <c r="E70" s="3">
        <v>1980</v>
      </c>
      <c r="F70" s="3" t="s">
        <v>334</v>
      </c>
      <c r="G70" s="3" t="s">
        <v>13</v>
      </c>
      <c r="H70" s="3" t="s">
        <v>250</v>
      </c>
      <c r="I70" s="3" t="s">
        <v>41</v>
      </c>
      <c r="J70" s="3" t="s">
        <v>13</v>
      </c>
      <c r="K70" s="3" t="s">
        <v>13</v>
      </c>
      <c r="L70" s="3" t="s">
        <v>335</v>
      </c>
      <c r="M70" s="3" t="s">
        <v>146</v>
      </c>
      <c r="N70" s="3" t="s">
        <v>13</v>
      </c>
      <c r="O70">
        <v>1</v>
      </c>
      <c r="R70">
        <v>200</v>
      </c>
      <c r="S70">
        <v>100</v>
      </c>
    </row>
    <row r="71" spans="2:19" hidden="1" x14ac:dyDescent="0.2">
      <c r="B71" s="2">
        <v>43055.808690243051</v>
      </c>
      <c r="C71" s="2" t="s">
        <v>651</v>
      </c>
      <c r="D71" s="3" t="s">
        <v>336</v>
      </c>
      <c r="E71" s="3">
        <v>1988</v>
      </c>
      <c r="F71" s="3" t="s">
        <v>331</v>
      </c>
      <c r="G71" s="3" t="s">
        <v>13</v>
      </c>
      <c r="H71" s="3" t="s">
        <v>30</v>
      </c>
      <c r="I71" s="3" t="s">
        <v>141</v>
      </c>
      <c r="J71" s="3" t="s">
        <v>13</v>
      </c>
      <c r="K71" s="3" t="s">
        <v>13</v>
      </c>
      <c r="L71" s="3" t="s">
        <v>337</v>
      </c>
      <c r="M71" s="3" t="s">
        <v>338</v>
      </c>
      <c r="N71" s="3" t="s">
        <v>13</v>
      </c>
      <c r="O71">
        <v>1</v>
      </c>
      <c r="R71">
        <v>200</v>
      </c>
      <c r="S71">
        <v>100</v>
      </c>
    </row>
    <row r="72" spans="2:19" hidden="1" x14ac:dyDescent="0.2">
      <c r="B72" s="2">
        <v>43056.458616597221</v>
      </c>
      <c r="C72" s="2" t="s">
        <v>651</v>
      </c>
      <c r="D72" s="3" t="s">
        <v>343</v>
      </c>
      <c r="E72" s="3">
        <v>1966</v>
      </c>
      <c r="F72" s="3" t="s">
        <v>344</v>
      </c>
      <c r="G72" s="3" t="s">
        <v>13</v>
      </c>
      <c r="H72" s="3" t="s">
        <v>101</v>
      </c>
      <c r="I72" s="3" t="s">
        <v>41</v>
      </c>
      <c r="J72" s="3" t="s">
        <v>25</v>
      </c>
      <c r="K72" s="3" t="s">
        <v>25</v>
      </c>
      <c r="L72" s="3" t="s">
        <v>345</v>
      </c>
      <c r="M72" s="3" t="s">
        <v>193</v>
      </c>
      <c r="N72" s="3" t="s">
        <v>13</v>
      </c>
      <c r="O72">
        <v>1</v>
      </c>
      <c r="R72">
        <v>200</v>
      </c>
      <c r="S72">
        <v>100</v>
      </c>
    </row>
    <row r="73" spans="2:19" hidden="1" x14ac:dyDescent="0.2">
      <c r="B73" s="2">
        <v>43057.670314872681</v>
      </c>
      <c r="C73" s="2" t="s">
        <v>651</v>
      </c>
      <c r="D73" s="3" t="s">
        <v>355</v>
      </c>
      <c r="E73" s="3">
        <v>1986</v>
      </c>
      <c r="F73" s="3" t="s">
        <v>356</v>
      </c>
      <c r="G73" s="3" t="s">
        <v>13</v>
      </c>
      <c r="H73" s="3">
        <v>1</v>
      </c>
      <c r="I73" s="3" t="s">
        <v>35</v>
      </c>
      <c r="J73" s="3" t="s">
        <v>25</v>
      </c>
      <c r="K73" s="3" t="s">
        <v>13</v>
      </c>
      <c r="L73" s="3" t="s">
        <v>357</v>
      </c>
      <c r="M73" s="3" t="s">
        <v>59</v>
      </c>
      <c r="N73" s="3" t="s">
        <v>25</v>
      </c>
      <c r="O73">
        <v>1</v>
      </c>
    </row>
    <row r="74" spans="2:19" x14ac:dyDescent="0.2">
      <c r="B74" s="2">
        <v>43058.759150381942</v>
      </c>
      <c r="C74" s="2" t="s">
        <v>651</v>
      </c>
      <c r="D74" s="3" t="s">
        <v>358</v>
      </c>
      <c r="E74" s="3">
        <v>1990</v>
      </c>
      <c r="F74" s="3" t="s">
        <v>359</v>
      </c>
      <c r="G74" s="3" t="s">
        <v>13</v>
      </c>
      <c r="H74" s="3">
        <v>1</v>
      </c>
      <c r="I74" s="3" t="s">
        <v>15</v>
      </c>
      <c r="J74" s="3" t="s">
        <v>13</v>
      </c>
      <c r="K74" s="3" t="s">
        <v>25</v>
      </c>
      <c r="L74" s="3" t="s">
        <v>360</v>
      </c>
      <c r="M74" s="3" t="s">
        <v>84</v>
      </c>
      <c r="N74" s="3" t="s">
        <v>25</v>
      </c>
      <c r="O74">
        <v>1</v>
      </c>
    </row>
    <row r="75" spans="2:19" x14ac:dyDescent="0.2">
      <c r="B75" s="2">
        <v>43058.761493819446</v>
      </c>
      <c r="C75" s="2" t="s">
        <v>651</v>
      </c>
      <c r="D75" s="3" t="s">
        <v>361</v>
      </c>
      <c r="E75" s="3">
        <v>1990</v>
      </c>
      <c r="F75" s="3" t="s">
        <v>362</v>
      </c>
      <c r="G75" s="3" t="s">
        <v>13</v>
      </c>
      <c r="H75" s="3">
        <v>1</v>
      </c>
      <c r="I75" s="3" t="s">
        <v>363</v>
      </c>
      <c r="J75" s="3" t="s">
        <v>13</v>
      </c>
      <c r="K75" s="3" t="s">
        <v>25</v>
      </c>
      <c r="L75" s="3" t="s">
        <v>364</v>
      </c>
      <c r="M75" s="3" t="s">
        <v>59</v>
      </c>
      <c r="N75" s="3" t="s">
        <v>25</v>
      </c>
      <c r="O75">
        <v>1</v>
      </c>
    </row>
    <row r="76" spans="2:19" hidden="1" x14ac:dyDescent="0.2">
      <c r="B76" s="2">
        <v>43059.018535648152</v>
      </c>
      <c r="C76" s="2" t="s">
        <v>651</v>
      </c>
      <c r="D76" s="3" t="s">
        <v>365</v>
      </c>
      <c r="E76" s="3">
        <v>1980</v>
      </c>
      <c r="F76" s="3" t="s">
        <v>366</v>
      </c>
      <c r="G76" s="3" t="s">
        <v>13</v>
      </c>
      <c r="H76" s="3" t="s">
        <v>25</v>
      </c>
      <c r="I76" s="3" t="s">
        <v>153</v>
      </c>
      <c r="J76" s="3" t="s">
        <v>13</v>
      </c>
      <c r="K76" s="3" t="s">
        <v>13</v>
      </c>
      <c r="L76" s="3" t="s">
        <v>367</v>
      </c>
      <c r="M76" s="3" t="s">
        <v>368</v>
      </c>
      <c r="N76" s="3" t="s">
        <v>13</v>
      </c>
      <c r="O76">
        <v>1</v>
      </c>
      <c r="R76">
        <v>200</v>
      </c>
      <c r="S76">
        <v>100</v>
      </c>
    </row>
    <row r="77" spans="2:19" hidden="1" x14ac:dyDescent="0.2">
      <c r="B77" s="2">
        <v>43059.435959236114</v>
      </c>
      <c r="C77" s="2" t="s">
        <v>651</v>
      </c>
      <c r="D77" s="3" t="s">
        <v>369</v>
      </c>
      <c r="E77" s="3">
        <v>1972</v>
      </c>
      <c r="F77" s="3" t="s">
        <v>370</v>
      </c>
      <c r="G77" s="3" t="s">
        <v>13</v>
      </c>
      <c r="H77" s="3">
        <v>1</v>
      </c>
      <c r="I77" s="3" t="s">
        <v>371</v>
      </c>
      <c r="J77" s="3" t="s">
        <v>13</v>
      </c>
      <c r="K77" s="3" t="s">
        <v>13</v>
      </c>
      <c r="L77" s="3" t="s">
        <v>372</v>
      </c>
      <c r="M77" s="3" t="s">
        <v>320</v>
      </c>
      <c r="N77" s="3" t="s">
        <v>13</v>
      </c>
      <c r="O77">
        <v>1</v>
      </c>
      <c r="R77">
        <v>200</v>
      </c>
      <c r="S77">
        <v>100</v>
      </c>
    </row>
    <row r="78" spans="2:19" hidden="1" x14ac:dyDescent="0.2">
      <c r="B78" s="2">
        <v>43059.791392546293</v>
      </c>
      <c r="C78" s="2" t="s">
        <v>651</v>
      </c>
      <c r="D78" s="3" t="s">
        <v>373</v>
      </c>
      <c r="E78" s="3">
        <v>1996</v>
      </c>
      <c r="F78" s="3" t="s">
        <v>374</v>
      </c>
      <c r="G78" s="3" t="s">
        <v>13</v>
      </c>
      <c r="H78" s="3" t="s">
        <v>375</v>
      </c>
      <c r="I78" s="3" t="s">
        <v>376</v>
      </c>
      <c r="J78" s="3" t="s">
        <v>25</v>
      </c>
      <c r="K78" s="3" t="s">
        <v>25</v>
      </c>
      <c r="L78" s="3" t="s">
        <v>377</v>
      </c>
      <c r="M78" s="3" t="s">
        <v>89</v>
      </c>
      <c r="N78" s="3" t="s">
        <v>25</v>
      </c>
      <c r="O78">
        <v>3</v>
      </c>
      <c r="P78">
        <v>1</v>
      </c>
    </row>
    <row r="79" spans="2:19" hidden="1" x14ac:dyDescent="0.2">
      <c r="B79" s="2">
        <v>43060.297700960647</v>
      </c>
      <c r="C79" s="2" t="s">
        <v>651</v>
      </c>
      <c r="D79" s="3" t="s">
        <v>378</v>
      </c>
      <c r="E79" s="3">
        <v>1965</v>
      </c>
      <c r="F79" s="3" t="s">
        <v>379</v>
      </c>
      <c r="G79" s="3" t="s">
        <v>13</v>
      </c>
      <c r="H79" s="3">
        <v>3</v>
      </c>
      <c r="I79" s="3" t="s">
        <v>380</v>
      </c>
      <c r="J79" s="3" t="s">
        <v>25</v>
      </c>
      <c r="K79" s="3" t="s">
        <v>13</v>
      </c>
      <c r="L79" s="3" t="s">
        <v>381</v>
      </c>
      <c r="M79" s="3" t="s">
        <v>17</v>
      </c>
      <c r="N79" s="3" t="s">
        <v>25</v>
      </c>
      <c r="O79">
        <v>3</v>
      </c>
    </row>
    <row r="80" spans="2:19" hidden="1" x14ac:dyDescent="0.2">
      <c r="B80" s="2">
        <v>43060.319249490742</v>
      </c>
      <c r="C80" s="2" t="s">
        <v>651</v>
      </c>
      <c r="D80" s="3" t="s">
        <v>382</v>
      </c>
      <c r="E80" s="3">
        <v>1977</v>
      </c>
      <c r="F80" s="3" t="s">
        <v>383</v>
      </c>
      <c r="G80" s="3" t="s">
        <v>13</v>
      </c>
      <c r="H80" s="3" t="s">
        <v>384</v>
      </c>
      <c r="I80" s="3" t="s">
        <v>385</v>
      </c>
      <c r="J80" s="3" t="s">
        <v>13</v>
      </c>
      <c r="K80" s="3" t="s">
        <v>13</v>
      </c>
      <c r="L80" s="3" t="s">
        <v>386</v>
      </c>
      <c r="M80" s="3" t="s">
        <v>226</v>
      </c>
      <c r="N80" s="3" t="s">
        <v>13</v>
      </c>
      <c r="O80">
        <v>2</v>
      </c>
      <c r="R80">
        <v>400</v>
      </c>
      <c r="S80">
        <v>100</v>
      </c>
    </row>
    <row r="81" spans="2:19" x14ac:dyDescent="0.2">
      <c r="B81" s="2">
        <v>43060.31993125</v>
      </c>
      <c r="C81" s="2" t="s">
        <v>651</v>
      </c>
      <c r="D81" s="3" t="s">
        <v>387</v>
      </c>
      <c r="E81" s="3">
        <v>1966</v>
      </c>
      <c r="F81" s="3" t="s">
        <v>388</v>
      </c>
      <c r="G81" s="3" t="s">
        <v>13</v>
      </c>
      <c r="H81" s="3" t="s">
        <v>101</v>
      </c>
      <c r="I81" s="3" t="s">
        <v>20</v>
      </c>
      <c r="J81" s="3" t="s">
        <v>13</v>
      </c>
      <c r="K81" s="3" t="s">
        <v>25</v>
      </c>
      <c r="L81" s="3" t="s">
        <v>389</v>
      </c>
      <c r="M81" s="3" t="s">
        <v>390</v>
      </c>
      <c r="N81" s="3" t="s">
        <v>25</v>
      </c>
      <c r="O81">
        <v>1</v>
      </c>
    </row>
    <row r="82" spans="2:19" hidden="1" x14ac:dyDescent="0.2">
      <c r="B82" s="2">
        <v>43060.320962673606</v>
      </c>
      <c r="C82" s="2" t="s">
        <v>651</v>
      </c>
      <c r="D82" s="3" t="s">
        <v>391</v>
      </c>
      <c r="E82" s="3">
        <v>1983</v>
      </c>
      <c r="F82" s="3" t="s">
        <v>392</v>
      </c>
      <c r="G82" s="3" t="s">
        <v>13</v>
      </c>
      <c r="H82" s="3" t="s">
        <v>250</v>
      </c>
      <c r="I82" s="3" t="s">
        <v>35</v>
      </c>
      <c r="J82" s="3" t="s">
        <v>13</v>
      </c>
      <c r="K82" s="3" t="s">
        <v>13</v>
      </c>
      <c r="L82" s="3" t="s">
        <v>393</v>
      </c>
      <c r="M82" s="3" t="s">
        <v>226</v>
      </c>
      <c r="N82" s="3" t="s">
        <v>13</v>
      </c>
      <c r="O82">
        <v>1</v>
      </c>
      <c r="R82">
        <v>200</v>
      </c>
      <c r="S82">
        <v>100</v>
      </c>
    </row>
    <row r="83" spans="2:19" hidden="1" x14ac:dyDescent="0.2">
      <c r="B83" s="2">
        <v>43060.323117407403</v>
      </c>
      <c r="C83" s="2" t="s">
        <v>651</v>
      </c>
      <c r="D83" s="3" t="s">
        <v>394</v>
      </c>
      <c r="E83" s="3">
        <v>1988</v>
      </c>
      <c r="F83" s="3" t="s">
        <v>395</v>
      </c>
      <c r="G83" s="3" t="s">
        <v>13</v>
      </c>
      <c r="H83" s="3" t="s">
        <v>250</v>
      </c>
      <c r="I83" s="3" t="s">
        <v>396</v>
      </c>
      <c r="J83" s="3" t="s">
        <v>13</v>
      </c>
      <c r="K83" s="3" t="s">
        <v>13</v>
      </c>
      <c r="L83" s="3" t="s">
        <v>393</v>
      </c>
      <c r="M83" s="3" t="s">
        <v>226</v>
      </c>
      <c r="N83" s="3" t="s">
        <v>13</v>
      </c>
      <c r="O83">
        <v>1</v>
      </c>
      <c r="R83">
        <v>200</v>
      </c>
      <c r="S83">
        <v>100</v>
      </c>
    </row>
    <row r="84" spans="2:19" hidden="1" x14ac:dyDescent="0.2">
      <c r="B84" s="2">
        <v>43060.33114318287</v>
      </c>
      <c r="C84" s="2" t="s">
        <v>651</v>
      </c>
      <c r="D84" s="3" t="s">
        <v>397</v>
      </c>
      <c r="E84" s="3">
        <v>1987</v>
      </c>
      <c r="F84" s="3" t="s">
        <v>398</v>
      </c>
      <c r="G84" s="3" t="s">
        <v>13</v>
      </c>
      <c r="H84" s="3" t="s">
        <v>101</v>
      </c>
      <c r="I84" s="3" t="s">
        <v>35</v>
      </c>
      <c r="J84" s="3" t="s">
        <v>25</v>
      </c>
      <c r="K84" s="3" t="s">
        <v>13</v>
      </c>
      <c r="L84" s="3" t="s">
        <v>399</v>
      </c>
      <c r="M84" s="3" t="s">
        <v>400</v>
      </c>
      <c r="N84" s="3" t="s">
        <v>25</v>
      </c>
      <c r="O84">
        <v>1</v>
      </c>
    </row>
    <row r="85" spans="2:19" x14ac:dyDescent="0.2">
      <c r="B85" s="2">
        <v>43060.361138113425</v>
      </c>
      <c r="C85" s="2" t="s">
        <v>651</v>
      </c>
      <c r="D85" s="3" t="s">
        <v>401</v>
      </c>
      <c r="E85" s="3">
        <v>1999</v>
      </c>
      <c r="F85" s="3" t="s">
        <v>402</v>
      </c>
      <c r="G85" s="3" t="s">
        <v>13</v>
      </c>
      <c r="H85" s="3" t="s">
        <v>403</v>
      </c>
      <c r="I85" s="3" t="s">
        <v>35</v>
      </c>
      <c r="J85" s="3" t="s">
        <v>13</v>
      </c>
      <c r="K85" s="3" t="s">
        <v>25</v>
      </c>
      <c r="L85" s="3" t="s">
        <v>404</v>
      </c>
      <c r="M85" s="3" t="s">
        <v>17</v>
      </c>
      <c r="N85" s="3" t="s">
        <v>25</v>
      </c>
      <c r="O85">
        <v>1</v>
      </c>
      <c r="P85">
        <v>1</v>
      </c>
    </row>
    <row r="86" spans="2:19" x14ac:dyDescent="0.2">
      <c r="B86" s="2">
        <v>43060.367524479167</v>
      </c>
      <c r="C86" s="2" t="s">
        <v>651</v>
      </c>
      <c r="D86" s="3" t="s">
        <v>405</v>
      </c>
      <c r="E86" s="3">
        <v>1992</v>
      </c>
      <c r="F86" s="3" t="s">
        <v>406</v>
      </c>
      <c r="G86" s="3" t="s">
        <v>13</v>
      </c>
      <c r="H86" s="3" t="s">
        <v>101</v>
      </c>
      <c r="I86" s="3" t="s">
        <v>35</v>
      </c>
      <c r="J86" s="3" t="s">
        <v>13</v>
      </c>
      <c r="K86" s="3" t="s">
        <v>25</v>
      </c>
      <c r="L86" s="3" t="s">
        <v>407</v>
      </c>
      <c r="M86" s="3" t="s">
        <v>310</v>
      </c>
      <c r="N86" s="3" t="s">
        <v>13</v>
      </c>
      <c r="O86">
        <v>1</v>
      </c>
      <c r="Q86" s="3" t="s">
        <v>697</v>
      </c>
      <c r="R86">
        <v>200</v>
      </c>
      <c r="S86">
        <v>100</v>
      </c>
    </row>
    <row r="87" spans="2:19" hidden="1" x14ac:dyDescent="0.2">
      <c r="B87" s="2">
        <v>43060.371461527779</v>
      </c>
      <c r="C87" s="2" t="s">
        <v>651</v>
      </c>
      <c r="D87" s="3" t="s">
        <v>408</v>
      </c>
      <c r="E87" s="3">
        <v>1999</v>
      </c>
      <c r="F87" s="3" t="s">
        <v>409</v>
      </c>
      <c r="G87" s="3" t="s">
        <v>13</v>
      </c>
      <c r="H87" s="3">
        <v>2</v>
      </c>
      <c r="I87" s="3" t="s">
        <v>41</v>
      </c>
      <c r="J87" s="3" t="s">
        <v>25</v>
      </c>
      <c r="K87" s="3" t="s">
        <v>25</v>
      </c>
      <c r="L87" s="3" t="s">
        <v>410</v>
      </c>
      <c r="M87" s="3" t="s">
        <v>17</v>
      </c>
      <c r="N87" s="3" t="s">
        <v>25</v>
      </c>
      <c r="O87">
        <v>2</v>
      </c>
    </row>
    <row r="88" spans="2:19" hidden="1" x14ac:dyDescent="0.2">
      <c r="B88" s="2">
        <v>43060.391536932875</v>
      </c>
      <c r="C88" s="2" t="s">
        <v>651</v>
      </c>
      <c r="D88" s="3" t="s">
        <v>411</v>
      </c>
      <c r="E88" s="3">
        <v>1991</v>
      </c>
      <c r="F88" s="3" t="s">
        <v>412</v>
      </c>
      <c r="G88" s="3" t="s">
        <v>13</v>
      </c>
      <c r="H88" s="3">
        <v>1</v>
      </c>
      <c r="I88" s="3" t="s">
        <v>41</v>
      </c>
      <c r="J88" s="3" t="s">
        <v>13</v>
      </c>
      <c r="K88" s="3" t="s">
        <v>13</v>
      </c>
      <c r="L88" s="3" t="s">
        <v>413</v>
      </c>
      <c r="M88" s="3" t="s">
        <v>414</v>
      </c>
      <c r="N88" s="3" t="s">
        <v>13</v>
      </c>
      <c r="O88">
        <v>1</v>
      </c>
      <c r="R88">
        <v>200</v>
      </c>
      <c r="S88">
        <v>100</v>
      </c>
    </row>
    <row r="89" spans="2:19" hidden="1" x14ac:dyDescent="0.2">
      <c r="B89" s="2">
        <v>43060.405688437502</v>
      </c>
      <c r="C89" s="2" t="s">
        <v>651</v>
      </c>
      <c r="D89" s="3" t="s">
        <v>417</v>
      </c>
      <c r="E89" s="3">
        <v>1996</v>
      </c>
      <c r="F89" s="3" t="s">
        <v>418</v>
      </c>
      <c r="G89" s="3" t="s">
        <v>13</v>
      </c>
      <c r="H89" s="3" t="s">
        <v>419</v>
      </c>
      <c r="I89" s="3" t="s">
        <v>35</v>
      </c>
      <c r="J89" s="3" t="s">
        <v>25</v>
      </c>
      <c r="K89" s="3" t="s">
        <v>13</v>
      </c>
      <c r="L89" s="3" t="s">
        <v>420</v>
      </c>
      <c r="M89" s="3" t="s">
        <v>17</v>
      </c>
      <c r="N89" s="3" t="s">
        <v>25</v>
      </c>
      <c r="O89">
        <v>1</v>
      </c>
      <c r="P89">
        <v>1</v>
      </c>
    </row>
    <row r="90" spans="2:19" x14ac:dyDescent="0.2">
      <c r="B90" s="2">
        <v>43060.410266273146</v>
      </c>
      <c r="C90" s="2" t="s">
        <v>651</v>
      </c>
      <c r="D90" s="3" t="s">
        <v>421</v>
      </c>
      <c r="E90" s="3">
        <v>1985</v>
      </c>
      <c r="F90" s="3" t="s">
        <v>422</v>
      </c>
      <c r="G90" s="3" t="s">
        <v>13</v>
      </c>
      <c r="H90" s="3" t="s">
        <v>423</v>
      </c>
      <c r="I90" s="3" t="s">
        <v>41</v>
      </c>
      <c r="J90" s="3" t="s">
        <v>13</v>
      </c>
      <c r="K90" s="3" t="s">
        <v>25</v>
      </c>
      <c r="L90" s="3" t="s">
        <v>424</v>
      </c>
      <c r="M90" s="3" t="s">
        <v>146</v>
      </c>
      <c r="N90" s="3" t="s">
        <v>25</v>
      </c>
      <c r="O90">
        <v>1</v>
      </c>
    </row>
    <row r="91" spans="2:19" hidden="1" x14ac:dyDescent="0.2">
      <c r="B91" s="2">
        <v>43060.414304618054</v>
      </c>
      <c r="C91" s="2" t="s">
        <v>651</v>
      </c>
      <c r="D91" s="3" t="s">
        <v>206</v>
      </c>
      <c r="E91" s="3">
        <v>1981</v>
      </c>
      <c r="F91" s="3" t="s">
        <v>207</v>
      </c>
      <c r="G91" s="3" t="s">
        <v>13</v>
      </c>
      <c r="H91" s="3" t="s">
        <v>101</v>
      </c>
      <c r="I91" s="3" t="s">
        <v>41</v>
      </c>
      <c r="J91" s="3" t="s">
        <v>13</v>
      </c>
      <c r="K91" s="3" t="s">
        <v>13</v>
      </c>
      <c r="L91" s="3" t="s">
        <v>208</v>
      </c>
      <c r="M91" s="3" t="s">
        <v>209</v>
      </c>
      <c r="N91" s="3" t="s">
        <v>13</v>
      </c>
      <c r="O91">
        <v>1</v>
      </c>
      <c r="R91">
        <v>200</v>
      </c>
      <c r="S91">
        <v>100</v>
      </c>
    </row>
    <row r="92" spans="2:19" hidden="1" x14ac:dyDescent="0.2">
      <c r="B92" s="2">
        <v>43060.429350474536</v>
      </c>
      <c r="C92" s="2" t="s">
        <v>651</v>
      </c>
      <c r="D92" s="3" t="s">
        <v>425</v>
      </c>
      <c r="E92" s="3">
        <v>1988</v>
      </c>
      <c r="F92" s="3" t="s">
        <v>426</v>
      </c>
      <c r="G92" s="3" t="s">
        <v>13</v>
      </c>
      <c r="H92" s="3" t="s">
        <v>427</v>
      </c>
      <c r="I92" s="3" t="s">
        <v>141</v>
      </c>
      <c r="J92" s="3" t="s">
        <v>13</v>
      </c>
      <c r="K92" s="3" t="s">
        <v>13</v>
      </c>
      <c r="L92" s="3" t="s">
        <v>428</v>
      </c>
      <c r="M92" s="3" t="s">
        <v>59</v>
      </c>
      <c r="N92" s="3" t="s">
        <v>13</v>
      </c>
      <c r="O92">
        <v>1</v>
      </c>
      <c r="R92">
        <v>200</v>
      </c>
      <c r="S92">
        <v>100</v>
      </c>
    </row>
    <row r="93" spans="2:19" hidden="1" x14ac:dyDescent="0.2">
      <c r="B93" s="2">
        <v>43060.435696631946</v>
      </c>
      <c r="C93" s="2" t="s">
        <v>651</v>
      </c>
      <c r="D93" s="3" t="s">
        <v>429</v>
      </c>
      <c r="E93" s="3">
        <v>1973</v>
      </c>
      <c r="F93" s="3" t="s">
        <v>430</v>
      </c>
      <c r="G93" s="3" t="s">
        <v>13</v>
      </c>
      <c r="H93" s="3">
        <v>1</v>
      </c>
      <c r="I93" s="3" t="s">
        <v>41</v>
      </c>
      <c r="J93" s="3" t="s">
        <v>25</v>
      </c>
      <c r="K93" s="3" t="s">
        <v>25</v>
      </c>
      <c r="L93" s="3" t="s">
        <v>431</v>
      </c>
      <c r="M93" s="3" t="s">
        <v>17</v>
      </c>
      <c r="N93" s="3" t="s">
        <v>13</v>
      </c>
      <c r="O93">
        <v>1</v>
      </c>
      <c r="R93">
        <v>200</v>
      </c>
      <c r="S93">
        <v>100</v>
      </c>
    </row>
    <row r="94" spans="2:19" x14ac:dyDescent="0.2">
      <c r="B94" s="2">
        <v>43060.438303680552</v>
      </c>
      <c r="C94" s="2" t="s">
        <v>651</v>
      </c>
      <c r="D94" s="3" t="s">
        <v>432</v>
      </c>
      <c r="E94" s="3">
        <v>1980</v>
      </c>
      <c r="F94" s="3" t="s">
        <v>433</v>
      </c>
      <c r="G94" s="3" t="s">
        <v>13</v>
      </c>
      <c r="H94" s="3">
        <v>1</v>
      </c>
      <c r="I94" s="3" t="s">
        <v>41</v>
      </c>
      <c r="J94" s="3" t="s">
        <v>13</v>
      </c>
      <c r="K94" s="3" t="s">
        <v>25</v>
      </c>
      <c r="L94" s="3" t="s">
        <v>434</v>
      </c>
      <c r="M94" s="3" t="s">
        <v>176</v>
      </c>
      <c r="N94" s="3" t="s">
        <v>13</v>
      </c>
      <c r="O94">
        <v>1</v>
      </c>
      <c r="R94">
        <v>200</v>
      </c>
      <c r="S94">
        <v>100</v>
      </c>
    </row>
    <row r="95" spans="2:19" x14ac:dyDescent="0.2">
      <c r="B95" s="2">
        <v>43060.444800104167</v>
      </c>
      <c r="C95" s="2" t="s">
        <v>651</v>
      </c>
      <c r="D95" s="3" t="s">
        <v>283</v>
      </c>
      <c r="E95" s="3">
        <v>1991</v>
      </c>
      <c r="F95" s="3" t="s">
        <v>435</v>
      </c>
      <c r="G95" s="3" t="s">
        <v>13</v>
      </c>
      <c r="H95" s="3">
        <v>1</v>
      </c>
      <c r="I95" s="3" t="s">
        <v>35</v>
      </c>
      <c r="J95" s="3" t="s">
        <v>13</v>
      </c>
      <c r="K95" s="3" t="s">
        <v>25</v>
      </c>
      <c r="L95" s="3" t="s">
        <v>285</v>
      </c>
      <c r="M95" s="3" t="s">
        <v>286</v>
      </c>
      <c r="N95" s="3" t="s">
        <v>13</v>
      </c>
      <c r="O95">
        <v>2</v>
      </c>
      <c r="R95">
        <v>400</v>
      </c>
      <c r="S95">
        <v>200</v>
      </c>
    </row>
    <row r="96" spans="2:19" hidden="1" x14ac:dyDescent="0.2">
      <c r="B96" s="2">
        <v>43060.464688043983</v>
      </c>
      <c r="C96" s="2" t="s">
        <v>651</v>
      </c>
      <c r="D96" s="3" t="s">
        <v>436</v>
      </c>
      <c r="E96" s="3">
        <v>1988</v>
      </c>
      <c r="F96" s="3" t="s">
        <v>437</v>
      </c>
      <c r="G96" s="3" t="s">
        <v>13</v>
      </c>
      <c r="H96" s="3">
        <v>2</v>
      </c>
      <c r="I96" s="3" t="s">
        <v>438</v>
      </c>
      <c r="J96" s="3" t="s">
        <v>25</v>
      </c>
      <c r="K96" s="3" t="s">
        <v>13</v>
      </c>
      <c r="L96" s="3" t="s">
        <v>439</v>
      </c>
      <c r="M96" s="3" t="s">
        <v>84</v>
      </c>
      <c r="N96" s="3" t="s">
        <v>25</v>
      </c>
      <c r="O96">
        <v>2</v>
      </c>
    </row>
    <row r="97" spans="2:19" hidden="1" x14ac:dyDescent="0.2">
      <c r="B97" s="2">
        <v>43060.517372407412</v>
      </c>
      <c r="C97" s="2" t="s">
        <v>651</v>
      </c>
      <c r="D97" s="3" t="s">
        <v>440</v>
      </c>
      <c r="E97" s="3">
        <v>1988</v>
      </c>
      <c r="F97" s="3" t="s">
        <v>441</v>
      </c>
      <c r="G97" s="3" t="s">
        <v>13</v>
      </c>
      <c r="H97" s="3" t="s">
        <v>442</v>
      </c>
      <c r="I97" s="3" t="s">
        <v>41</v>
      </c>
      <c r="J97" s="3" t="s">
        <v>13</v>
      </c>
      <c r="K97" s="3" t="s">
        <v>13</v>
      </c>
      <c r="L97" s="3" t="s">
        <v>443</v>
      </c>
      <c r="M97" s="3" t="s">
        <v>176</v>
      </c>
      <c r="N97" s="3" t="s">
        <v>13</v>
      </c>
      <c r="O97">
        <v>1</v>
      </c>
      <c r="P97">
        <v>1</v>
      </c>
      <c r="R97">
        <v>200</v>
      </c>
      <c r="S97">
        <v>100</v>
      </c>
    </row>
    <row r="98" spans="2:19" hidden="1" x14ac:dyDescent="0.2">
      <c r="B98" s="2">
        <v>43060.523082129628</v>
      </c>
      <c r="C98" s="2" t="s">
        <v>651</v>
      </c>
      <c r="D98" s="3" t="s">
        <v>444</v>
      </c>
      <c r="E98" s="3">
        <v>1979</v>
      </c>
      <c r="F98" s="3">
        <v>612423532164</v>
      </c>
      <c r="G98" s="3" t="s">
        <v>13</v>
      </c>
      <c r="H98" s="3" t="s">
        <v>40</v>
      </c>
      <c r="I98" s="3" t="s">
        <v>141</v>
      </c>
      <c r="J98" s="3" t="s">
        <v>13</v>
      </c>
      <c r="K98" s="3" t="s">
        <v>13</v>
      </c>
      <c r="L98" s="3" t="s">
        <v>445</v>
      </c>
      <c r="M98" s="3" t="s">
        <v>446</v>
      </c>
      <c r="N98" s="3" t="s">
        <v>13</v>
      </c>
      <c r="O98">
        <v>1</v>
      </c>
      <c r="Q98" s="7">
        <v>42836</v>
      </c>
      <c r="R98">
        <v>200</v>
      </c>
      <c r="S98">
        <v>100</v>
      </c>
    </row>
    <row r="99" spans="2:19" hidden="1" x14ac:dyDescent="0.2">
      <c r="B99" s="2">
        <v>43060.539479837964</v>
      </c>
      <c r="C99" s="2" t="s">
        <v>651</v>
      </c>
      <c r="D99" s="3" t="s">
        <v>447</v>
      </c>
      <c r="E99" s="3">
        <v>1978</v>
      </c>
      <c r="F99" s="3">
        <v>919840044411</v>
      </c>
      <c r="G99" s="3" t="s">
        <v>13</v>
      </c>
      <c r="H99" s="3" t="s">
        <v>448</v>
      </c>
      <c r="I99" s="3" t="s">
        <v>449</v>
      </c>
      <c r="J99" s="3" t="s">
        <v>13</v>
      </c>
      <c r="K99" s="3" t="s">
        <v>13</v>
      </c>
      <c r="L99" s="3" t="s">
        <v>450</v>
      </c>
      <c r="M99" s="3" t="s">
        <v>451</v>
      </c>
      <c r="N99" s="3" t="s">
        <v>13</v>
      </c>
      <c r="O99">
        <v>1</v>
      </c>
      <c r="R99">
        <v>200</v>
      </c>
      <c r="S99">
        <v>100</v>
      </c>
    </row>
    <row r="100" spans="2:19" hidden="1" x14ac:dyDescent="0.2">
      <c r="B100" s="2">
        <v>43060.583295937497</v>
      </c>
      <c r="C100" s="2" t="s">
        <v>651</v>
      </c>
      <c r="D100" s="3" t="s">
        <v>456</v>
      </c>
      <c r="E100" s="3">
        <v>1979</v>
      </c>
      <c r="F100" s="3" t="s">
        <v>457</v>
      </c>
      <c r="G100" s="3" t="s">
        <v>13</v>
      </c>
      <c r="H100" s="3">
        <v>2</v>
      </c>
      <c r="I100" s="3" t="s">
        <v>15</v>
      </c>
      <c r="J100" s="3" t="s">
        <v>25</v>
      </c>
      <c r="K100" s="3" t="s">
        <v>13</v>
      </c>
      <c r="L100" s="3" t="s">
        <v>458</v>
      </c>
      <c r="M100" s="3" t="s">
        <v>59</v>
      </c>
      <c r="N100" s="3" t="s">
        <v>25</v>
      </c>
      <c r="O100">
        <v>2</v>
      </c>
    </row>
    <row r="101" spans="2:19" x14ac:dyDescent="0.2">
      <c r="B101" s="2">
        <v>43060.585748171296</v>
      </c>
      <c r="C101" s="2" t="s">
        <v>651</v>
      </c>
      <c r="D101" s="3" t="s">
        <v>459</v>
      </c>
      <c r="E101" s="3">
        <v>1971</v>
      </c>
      <c r="F101" s="3" t="s">
        <v>460</v>
      </c>
      <c r="G101" s="3" t="s">
        <v>13</v>
      </c>
      <c r="H101" s="3" t="s">
        <v>461</v>
      </c>
      <c r="I101" s="3" t="s">
        <v>35</v>
      </c>
      <c r="J101" s="3" t="s">
        <v>13</v>
      </c>
      <c r="K101" s="3" t="s">
        <v>25</v>
      </c>
      <c r="L101" s="3" t="s">
        <v>462</v>
      </c>
      <c r="M101" s="3" t="s">
        <v>146</v>
      </c>
      <c r="N101" s="3" t="s">
        <v>25</v>
      </c>
      <c r="O101">
        <v>1</v>
      </c>
    </row>
    <row r="102" spans="2:19" hidden="1" x14ac:dyDescent="0.2">
      <c r="B102" s="2">
        <v>43060.618017696761</v>
      </c>
      <c r="C102" s="2" t="s">
        <v>651</v>
      </c>
      <c r="D102" s="3" t="s">
        <v>463</v>
      </c>
      <c r="E102" s="3">
        <v>1987</v>
      </c>
      <c r="F102" s="3" t="s">
        <v>464</v>
      </c>
      <c r="G102" s="3" t="s">
        <v>13</v>
      </c>
      <c r="H102" s="3" t="s">
        <v>101</v>
      </c>
      <c r="I102" s="3" t="s">
        <v>35</v>
      </c>
      <c r="J102" s="3" t="s">
        <v>25</v>
      </c>
      <c r="K102" s="3" t="s">
        <v>25</v>
      </c>
      <c r="L102" s="3" t="s">
        <v>465</v>
      </c>
      <c r="M102" s="3" t="s">
        <v>59</v>
      </c>
      <c r="N102" s="3" t="s">
        <v>13</v>
      </c>
      <c r="O102">
        <v>1</v>
      </c>
      <c r="R102">
        <v>200</v>
      </c>
      <c r="S102">
        <v>100</v>
      </c>
    </row>
    <row r="103" spans="2:19" hidden="1" x14ac:dyDescent="0.2">
      <c r="B103" s="2">
        <v>43060.621129305553</v>
      </c>
      <c r="C103" s="2" t="s">
        <v>651</v>
      </c>
      <c r="D103" s="3" t="s">
        <v>466</v>
      </c>
      <c r="E103" s="3">
        <v>1975</v>
      </c>
      <c r="F103" s="3" t="s">
        <v>467</v>
      </c>
      <c r="G103" s="3" t="s">
        <v>13</v>
      </c>
      <c r="H103" s="3">
        <v>1</v>
      </c>
      <c r="I103" s="3" t="s">
        <v>15</v>
      </c>
      <c r="J103" s="3" t="s">
        <v>13</v>
      </c>
      <c r="K103" s="3" t="s">
        <v>13</v>
      </c>
      <c r="L103" s="3" t="s">
        <v>468</v>
      </c>
      <c r="M103" s="3" t="s">
        <v>469</v>
      </c>
      <c r="N103" s="3" t="s">
        <v>13</v>
      </c>
      <c r="O103">
        <v>1</v>
      </c>
      <c r="R103">
        <v>200</v>
      </c>
      <c r="S103">
        <v>100</v>
      </c>
    </row>
    <row r="104" spans="2:19" x14ac:dyDescent="0.2">
      <c r="B104" s="2">
        <v>43060.630497743055</v>
      </c>
      <c r="C104" s="2" t="s">
        <v>651</v>
      </c>
      <c r="D104" s="3" t="s">
        <v>470</v>
      </c>
      <c r="E104" s="3">
        <v>1979</v>
      </c>
      <c r="F104" s="3" t="s">
        <v>471</v>
      </c>
      <c r="G104" s="3" t="s">
        <v>13</v>
      </c>
      <c r="H104" s="3" t="s">
        <v>101</v>
      </c>
      <c r="I104" s="3" t="s">
        <v>41</v>
      </c>
      <c r="J104" s="3" t="s">
        <v>13</v>
      </c>
      <c r="K104" s="3" t="s">
        <v>25</v>
      </c>
      <c r="L104" s="3" t="s">
        <v>472</v>
      </c>
      <c r="M104" s="3" t="s">
        <v>473</v>
      </c>
      <c r="N104" s="3" t="s">
        <v>25</v>
      </c>
      <c r="O104">
        <v>1</v>
      </c>
    </row>
    <row r="105" spans="2:19" x14ac:dyDescent="0.2">
      <c r="B105" s="2">
        <v>43060.657915162039</v>
      </c>
      <c r="C105" s="2" t="s">
        <v>651</v>
      </c>
      <c r="D105" s="3" t="s">
        <v>474</v>
      </c>
      <c r="E105" s="3">
        <v>1985</v>
      </c>
      <c r="F105" s="3" t="s">
        <v>422</v>
      </c>
      <c r="G105" s="3" t="s">
        <v>13</v>
      </c>
      <c r="H105" s="3" t="s">
        <v>423</v>
      </c>
      <c r="I105" s="3" t="s">
        <v>41</v>
      </c>
      <c r="J105" s="3" t="s">
        <v>13</v>
      </c>
      <c r="K105" s="3" t="s">
        <v>25</v>
      </c>
      <c r="L105" s="3" t="s">
        <v>424</v>
      </c>
      <c r="M105" s="3" t="s">
        <v>146</v>
      </c>
      <c r="N105" s="3" t="s">
        <v>25</v>
      </c>
      <c r="O105">
        <v>1</v>
      </c>
    </row>
    <row r="106" spans="2:19" hidden="1" x14ac:dyDescent="0.2">
      <c r="B106" s="2">
        <v>43060.717228958332</v>
      </c>
      <c r="C106" s="2" t="s">
        <v>651</v>
      </c>
      <c r="D106" s="3" t="s">
        <v>475</v>
      </c>
      <c r="E106" s="3">
        <v>1967</v>
      </c>
      <c r="F106" s="3" t="s">
        <v>476</v>
      </c>
      <c r="G106" s="3" t="s">
        <v>13</v>
      </c>
      <c r="H106" s="3" t="s">
        <v>101</v>
      </c>
      <c r="I106" s="3" t="s">
        <v>41</v>
      </c>
      <c r="J106" s="3" t="s">
        <v>25</v>
      </c>
      <c r="K106" s="3" t="s">
        <v>25</v>
      </c>
      <c r="L106" s="3" t="s">
        <v>477</v>
      </c>
      <c r="M106" s="3" t="s">
        <v>17</v>
      </c>
      <c r="N106" s="3" t="s">
        <v>25</v>
      </c>
      <c r="O106">
        <v>1</v>
      </c>
    </row>
    <row r="107" spans="2:19" hidden="1" x14ac:dyDescent="0.2">
      <c r="B107" s="2">
        <v>43060.843803194446</v>
      </c>
      <c r="C107" s="2" t="s">
        <v>651</v>
      </c>
      <c r="D107" s="3" t="s">
        <v>478</v>
      </c>
      <c r="E107" s="3">
        <v>1988</v>
      </c>
      <c r="F107" s="3" t="s">
        <v>479</v>
      </c>
      <c r="G107" s="3" t="s">
        <v>13</v>
      </c>
      <c r="H107" s="3" t="s">
        <v>250</v>
      </c>
      <c r="I107" s="3" t="s">
        <v>438</v>
      </c>
      <c r="J107" s="3" t="s">
        <v>13</v>
      </c>
      <c r="K107" s="3" t="s">
        <v>13</v>
      </c>
      <c r="L107" s="3" t="s">
        <v>480</v>
      </c>
      <c r="M107" s="3" t="s">
        <v>84</v>
      </c>
      <c r="N107" s="3" t="s">
        <v>13</v>
      </c>
      <c r="O107">
        <v>1</v>
      </c>
      <c r="R107">
        <v>200</v>
      </c>
      <c r="S107">
        <v>100</v>
      </c>
    </row>
    <row r="108" spans="2:19" hidden="1" x14ac:dyDescent="0.2">
      <c r="B108" s="2">
        <v>43060.892592997683</v>
      </c>
      <c r="C108" s="2" t="s">
        <v>651</v>
      </c>
      <c r="D108" s="3" t="s">
        <v>305</v>
      </c>
      <c r="E108" s="3">
        <v>1977</v>
      </c>
      <c r="F108" s="3" t="s">
        <v>306</v>
      </c>
      <c r="G108" s="3" t="s">
        <v>13</v>
      </c>
      <c r="H108" s="3" t="s">
        <v>307</v>
      </c>
      <c r="I108" s="3" t="s">
        <v>308</v>
      </c>
      <c r="J108" s="3" t="s">
        <v>13</v>
      </c>
      <c r="K108" s="3" t="s">
        <v>13</v>
      </c>
      <c r="L108" s="3" t="s">
        <v>309</v>
      </c>
      <c r="M108" s="3" t="s">
        <v>481</v>
      </c>
      <c r="N108" s="3" t="s">
        <v>13</v>
      </c>
      <c r="O108">
        <v>1</v>
      </c>
      <c r="R108">
        <v>200</v>
      </c>
      <c r="S108">
        <v>100</v>
      </c>
    </row>
    <row r="109" spans="2:19" hidden="1" x14ac:dyDescent="0.2">
      <c r="B109" s="2">
        <v>43060.907426331018</v>
      </c>
      <c r="C109" s="2" t="s">
        <v>651</v>
      </c>
      <c r="D109" s="3" t="s">
        <v>482</v>
      </c>
      <c r="E109" s="3">
        <v>1979</v>
      </c>
      <c r="F109" s="3" t="s">
        <v>483</v>
      </c>
      <c r="G109" s="3" t="s">
        <v>13</v>
      </c>
      <c r="H109" s="3">
        <v>1</v>
      </c>
      <c r="I109" s="3" t="s">
        <v>484</v>
      </c>
      <c r="J109" s="3" t="s">
        <v>13</v>
      </c>
      <c r="K109" s="3" t="s">
        <v>13</v>
      </c>
      <c r="L109" s="3" t="s">
        <v>485</v>
      </c>
      <c r="M109" s="3" t="s">
        <v>486</v>
      </c>
      <c r="N109" s="3" t="s">
        <v>13</v>
      </c>
      <c r="O109">
        <v>1</v>
      </c>
      <c r="Q109" s="3" t="s">
        <v>723</v>
      </c>
      <c r="R109">
        <v>200</v>
      </c>
      <c r="S109">
        <v>100</v>
      </c>
    </row>
    <row r="110" spans="2:19" hidden="1" x14ac:dyDescent="0.2">
      <c r="B110" s="2">
        <v>43060.997279293981</v>
      </c>
      <c r="C110" s="2" t="s">
        <v>651</v>
      </c>
      <c r="D110" s="3" t="s">
        <v>487</v>
      </c>
      <c r="E110" s="3">
        <v>1974</v>
      </c>
      <c r="F110" s="3" t="s">
        <v>488</v>
      </c>
      <c r="G110" s="3" t="s">
        <v>13</v>
      </c>
      <c r="H110" s="3" t="s">
        <v>40</v>
      </c>
      <c r="I110" s="3" t="s">
        <v>41</v>
      </c>
      <c r="J110" s="3" t="s">
        <v>25</v>
      </c>
      <c r="K110" s="3" t="s">
        <v>25</v>
      </c>
      <c r="L110" s="3" t="s">
        <v>489</v>
      </c>
      <c r="M110" s="3" t="s">
        <v>490</v>
      </c>
      <c r="N110" s="3" t="s">
        <v>25</v>
      </c>
      <c r="O110">
        <v>1</v>
      </c>
    </row>
    <row r="111" spans="2:19" hidden="1" x14ac:dyDescent="0.2">
      <c r="B111" s="2">
        <v>43061.088254340277</v>
      </c>
      <c r="C111" s="2" t="s">
        <v>651</v>
      </c>
      <c r="D111" s="3" t="s">
        <v>491</v>
      </c>
      <c r="E111" s="3">
        <v>1979</v>
      </c>
      <c r="F111" s="3" t="s">
        <v>492</v>
      </c>
      <c r="G111" s="3" t="s">
        <v>13</v>
      </c>
      <c r="H111" s="3" t="s">
        <v>493</v>
      </c>
      <c r="I111" s="3" t="s">
        <v>41</v>
      </c>
      <c r="J111" s="3" t="s">
        <v>13</v>
      </c>
      <c r="K111" s="3" t="s">
        <v>13</v>
      </c>
      <c r="L111" s="3" t="s">
        <v>494</v>
      </c>
      <c r="M111" s="3" t="s">
        <v>59</v>
      </c>
      <c r="N111" s="3" t="s">
        <v>13</v>
      </c>
      <c r="O111">
        <v>1</v>
      </c>
      <c r="Q111" s="3" t="s">
        <v>724</v>
      </c>
      <c r="R111">
        <v>200</v>
      </c>
      <c r="S111">
        <v>100</v>
      </c>
    </row>
    <row r="112" spans="2:19" hidden="1" x14ac:dyDescent="0.2">
      <c r="B112" s="2">
        <v>43061.356059317128</v>
      </c>
      <c r="C112" s="2" t="s">
        <v>651</v>
      </c>
      <c r="D112" s="3" t="s">
        <v>127</v>
      </c>
      <c r="E112" s="3">
        <v>1983</v>
      </c>
      <c r="F112" s="3" t="s">
        <v>495</v>
      </c>
      <c r="G112" s="3" t="s">
        <v>13</v>
      </c>
      <c r="H112" s="3">
        <v>0</v>
      </c>
      <c r="I112" s="3" t="s">
        <v>496</v>
      </c>
      <c r="J112" s="3" t="s">
        <v>25</v>
      </c>
      <c r="K112" s="3" t="s">
        <v>25</v>
      </c>
      <c r="L112" s="3" t="s">
        <v>497</v>
      </c>
      <c r="M112" s="3" t="s">
        <v>59</v>
      </c>
      <c r="N112" s="3" t="s">
        <v>13</v>
      </c>
      <c r="O112">
        <v>1</v>
      </c>
      <c r="Q112" s="3" t="s">
        <v>738</v>
      </c>
      <c r="R112">
        <v>200</v>
      </c>
      <c r="S112">
        <v>100</v>
      </c>
    </row>
    <row r="113" spans="2:19" hidden="1" x14ac:dyDescent="0.2">
      <c r="B113" s="2">
        <v>43061.356917303245</v>
      </c>
      <c r="C113" s="2" t="s">
        <v>651</v>
      </c>
      <c r="D113" s="3" t="s">
        <v>498</v>
      </c>
      <c r="E113" s="3">
        <v>1987</v>
      </c>
      <c r="F113" s="3" t="s">
        <v>495</v>
      </c>
      <c r="G113" s="3" t="s">
        <v>13</v>
      </c>
      <c r="H113" s="3">
        <v>0</v>
      </c>
      <c r="I113" s="3" t="s">
        <v>41</v>
      </c>
      <c r="J113" s="3" t="s">
        <v>25</v>
      </c>
      <c r="K113" s="3" t="s">
        <v>25</v>
      </c>
      <c r="L113" s="3" t="s">
        <v>497</v>
      </c>
      <c r="M113" s="3" t="s">
        <v>205</v>
      </c>
      <c r="N113" s="3" t="s">
        <v>13</v>
      </c>
      <c r="O113">
        <v>1</v>
      </c>
      <c r="Q113" s="3" t="s">
        <v>738</v>
      </c>
      <c r="R113">
        <v>200</v>
      </c>
      <c r="S113">
        <v>100</v>
      </c>
    </row>
    <row r="114" spans="2:19" x14ac:dyDescent="0.2">
      <c r="B114" s="2">
        <v>43061.357956527776</v>
      </c>
      <c r="C114" s="2" t="s">
        <v>651</v>
      </c>
      <c r="D114" s="3" t="s">
        <v>499</v>
      </c>
      <c r="E114" s="3">
        <v>1992</v>
      </c>
      <c r="F114" s="3" t="s">
        <v>495</v>
      </c>
      <c r="G114" s="3" t="s">
        <v>13</v>
      </c>
      <c r="H114" s="3">
        <v>0</v>
      </c>
      <c r="I114" s="3" t="s">
        <v>41</v>
      </c>
      <c r="J114" s="3" t="s">
        <v>13</v>
      </c>
      <c r="K114" s="3" t="s">
        <v>25</v>
      </c>
      <c r="L114" s="3" t="s">
        <v>497</v>
      </c>
      <c r="M114" s="3" t="s">
        <v>59</v>
      </c>
      <c r="N114" s="3" t="s">
        <v>13</v>
      </c>
      <c r="O114">
        <v>1</v>
      </c>
      <c r="Q114" s="3" t="s">
        <v>738</v>
      </c>
      <c r="R114">
        <v>200</v>
      </c>
      <c r="S114">
        <v>100</v>
      </c>
    </row>
    <row r="115" spans="2:19" hidden="1" x14ac:dyDescent="0.2">
      <c r="B115" s="2">
        <v>43061.436310243051</v>
      </c>
      <c r="C115" s="2" t="s">
        <v>651</v>
      </c>
      <c r="D115" s="3" t="s">
        <v>500</v>
      </c>
      <c r="E115" s="3">
        <v>1990</v>
      </c>
      <c r="F115" s="3">
        <v>8012580506</v>
      </c>
      <c r="G115" s="3" t="s">
        <v>13</v>
      </c>
      <c r="H115" s="3">
        <v>1</v>
      </c>
      <c r="I115" s="3" t="s">
        <v>141</v>
      </c>
      <c r="J115" s="3" t="s">
        <v>13</v>
      </c>
      <c r="K115" s="3" t="s">
        <v>13</v>
      </c>
      <c r="L115" s="3" t="s">
        <v>501</v>
      </c>
      <c r="M115" s="3" t="s">
        <v>502</v>
      </c>
      <c r="N115" s="3" t="s">
        <v>13</v>
      </c>
      <c r="O115">
        <v>1</v>
      </c>
      <c r="R115">
        <v>200</v>
      </c>
      <c r="S115">
        <v>100</v>
      </c>
    </row>
    <row r="116" spans="2:19" hidden="1" x14ac:dyDescent="0.2">
      <c r="B116" s="2">
        <v>43061.438962581014</v>
      </c>
      <c r="C116" s="2" t="s">
        <v>651</v>
      </c>
      <c r="D116" s="3" t="s">
        <v>503</v>
      </c>
      <c r="E116" s="3">
        <v>1980</v>
      </c>
      <c r="F116" s="3">
        <v>9840039037</v>
      </c>
      <c r="G116" s="3" t="s">
        <v>13</v>
      </c>
      <c r="H116" s="3">
        <v>0</v>
      </c>
      <c r="I116" s="3" t="s">
        <v>141</v>
      </c>
      <c r="J116" s="3" t="s">
        <v>13</v>
      </c>
      <c r="K116" s="3" t="s">
        <v>13</v>
      </c>
      <c r="L116" s="3" t="s">
        <v>504</v>
      </c>
      <c r="M116" s="3" t="s">
        <v>59</v>
      </c>
      <c r="N116" s="3" t="s">
        <v>13</v>
      </c>
      <c r="O116">
        <v>1</v>
      </c>
      <c r="R116">
        <v>200</v>
      </c>
      <c r="S116">
        <v>100</v>
      </c>
    </row>
    <row r="117" spans="2:19" hidden="1" x14ac:dyDescent="0.2">
      <c r="B117" s="2">
        <v>43061.440845405094</v>
      </c>
      <c r="C117" s="2" t="s">
        <v>651</v>
      </c>
      <c r="D117" s="3" t="s">
        <v>505</v>
      </c>
      <c r="E117" s="3">
        <v>1982</v>
      </c>
      <c r="F117" s="3">
        <v>9677099881</v>
      </c>
      <c r="G117" s="3" t="s">
        <v>13</v>
      </c>
      <c r="H117" s="3">
        <v>0</v>
      </c>
      <c r="I117" s="3" t="s">
        <v>141</v>
      </c>
      <c r="J117" s="3" t="s">
        <v>13</v>
      </c>
      <c r="K117" s="3" t="s">
        <v>13</v>
      </c>
      <c r="L117" s="3" t="s">
        <v>293</v>
      </c>
      <c r="M117" s="3" t="s">
        <v>506</v>
      </c>
      <c r="N117" s="3" t="s">
        <v>13</v>
      </c>
      <c r="O117">
        <v>1</v>
      </c>
      <c r="R117">
        <v>200</v>
      </c>
      <c r="S117">
        <v>100</v>
      </c>
    </row>
    <row r="118" spans="2:19" hidden="1" x14ac:dyDescent="0.2">
      <c r="B118" s="2">
        <v>43061.442629351848</v>
      </c>
      <c r="C118" s="2" t="s">
        <v>651</v>
      </c>
      <c r="D118" s="3" t="s">
        <v>507</v>
      </c>
      <c r="E118" s="3">
        <v>1984</v>
      </c>
      <c r="F118" s="3">
        <v>9677099881</v>
      </c>
      <c r="G118" s="3" t="s">
        <v>13</v>
      </c>
      <c r="H118" s="3">
        <v>0</v>
      </c>
      <c r="I118" s="3" t="s">
        <v>141</v>
      </c>
      <c r="J118" s="3" t="s">
        <v>13</v>
      </c>
      <c r="K118" s="3" t="s">
        <v>13</v>
      </c>
      <c r="L118" s="3" t="s">
        <v>508</v>
      </c>
      <c r="M118" s="3" t="s">
        <v>509</v>
      </c>
      <c r="N118" s="3" t="s">
        <v>13</v>
      </c>
      <c r="O118">
        <v>1</v>
      </c>
      <c r="R118">
        <v>200</v>
      </c>
      <c r="S118">
        <v>100</v>
      </c>
    </row>
    <row r="119" spans="2:19" hidden="1" x14ac:dyDescent="0.2">
      <c r="B119" s="2">
        <v>43061.443342847226</v>
      </c>
      <c r="C119" s="2" t="s">
        <v>651</v>
      </c>
      <c r="D119" s="3" t="s">
        <v>510</v>
      </c>
      <c r="E119" s="3">
        <v>1990</v>
      </c>
      <c r="F119" s="3">
        <v>9677099881</v>
      </c>
      <c r="G119" s="3" t="s">
        <v>13</v>
      </c>
      <c r="H119" s="3">
        <v>0</v>
      </c>
      <c r="I119" s="3" t="s">
        <v>141</v>
      </c>
      <c r="J119" s="3" t="s">
        <v>13</v>
      </c>
      <c r="K119" s="3" t="s">
        <v>13</v>
      </c>
      <c r="L119" s="3" t="s">
        <v>511</v>
      </c>
      <c r="M119" s="3" t="s">
        <v>84</v>
      </c>
      <c r="N119" s="3" t="s">
        <v>13</v>
      </c>
      <c r="O119">
        <v>1</v>
      </c>
      <c r="R119">
        <v>200</v>
      </c>
      <c r="S119">
        <v>100</v>
      </c>
    </row>
    <row r="120" spans="2:19" hidden="1" x14ac:dyDescent="0.2">
      <c r="B120" s="2">
        <v>43061.447423923615</v>
      </c>
      <c r="C120" s="2" t="s">
        <v>651</v>
      </c>
      <c r="D120" s="3" t="s">
        <v>516</v>
      </c>
      <c r="E120" s="3">
        <v>1990</v>
      </c>
      <c r="F120" s="3">
        <v>9791077233</v>
      </c>
      <c r="G120" s="3" t="s">
        <v>13</v>
      </c>
      <c r="H120" s="3" t="s">
        <v>517</v>
      </c>
      <c r="I120" s="3" t="s">
        <v>35</v>
      </c>
      <c r="J120" s="3" t="s">
        <v>13</v>
      </c>
      <c r="K120" s="3" t="s">
        <v>13</v>
      </c>
      <c r="L120" s="3" t="s">
        <v>518</v>
      </c>
      <c r="M120" s="3" t="s">
        <v>519</v>
      </c>
      <c r="N120" s="3" t="s">
        <v>13</v>
      </c>
      <c r="O120">
        <v>1</v>
      </c>
      <c r="P120">
        <v>1</v>
      </c>
      <c r="R120">
        <v>200</v>
      </c>
      <c r="S120">
        <v>100</v>
      </c>
    </row>
    <row r="121" spans="2:19" hidden="1" x14ac:dyDescent="0.2">
      <c r="B121" s="2">
        <v>43061.462324942127</v>
      </c>
      <c r="C121" s="2" t="s">
        <v>651</v>
      </c>
      <c r="D121" s="3" t="s">
        <v>520</v>
      </c>
      <c r="E121" s="3">
        <v>1971</v>
      </c>
      <c r="F121" s="3">
        <v>9790748317</v>
      </c>
      <c r="G121" s="3" t="s">
        <v>13</v>
      </c>
      <c r="H121" s="3">
        <v>1</v>
      </c>
      <c r="I121" s="3" t="s">
        <v>521</v>
      </c>
      <c r="J121" s="3" t="s">
        <v>13</v>
      </c>
      <c r="K121" s="3" t="s">
        <v>13</v>
      </c>
      <c r="L121" s="3" t="s">
        <v>522</v>
      </c>
      <c r="M121" s="3" t="s">
        <v>59</v>
      </c>
      <c r="N121" s="3" t="s">
        <v>13</v>
      </c>
      <c r="O121">
        <v>1</v>
      </c>
      <c r="R121">
        <v>200</v>
      </c>
      <c r="S121">
        <v>100</v>
      </c>
    </row>
    <row r="122" spans="2:19" hidden="1" x14ac:dyDescent="0.2">
      <c r="B122" s="2">
        <v>43061.464401226855</v>
      </c>
      <c r="C122" s="2" t="s">
        <v>651</v>
      </c>
      <c r="D122" s="3" t="s">
        <v>523</v>
      </c>
      <c r="E122" s="3">
        <v>1971</v>
      </c>
      <c r="F122" s="3">
        <v>9790748317</v>
      </c>
      <c r="G122" s="3" t="s">
        <v>13</v>
      </c>
      <c r="H122" s="3">
        <v>1</v>
      </c>
      <c r="I122" s="3" t="s">
        <v>521</v>
      </c>
      <c r="J122" s="3" t="s">
        <v>13</v>
      </c>
      <c r="K122" s="3" t="s">
        <v>13</v>
      </c>
      <c r="L122" s="3" t="s">
        <v>522</v>
      </c>
      <c r="M122" s="3" t="s">
        <v>59</v>
      </c>
      <c r="N122" s="3" t="s">
        <v>13</v>
      </c>
      <c r="O122">
        <v>1</v>
      </c>
      <c r="R122">
        <v>200</v>
      </c>
      <c r="S122">
        <v>100</v>
      </c>
    </row>
    <row r="123" spans="2:19" hidden="1" x14ac:dyDescent="0.2">
      <c r="B123" s="2">
        <v>43061.466326689813</v>
      </c>
      <c r="C123" s="2" t="s">
        <v>651</v>
      </c>
      <c r="D123" s="3" t="s">
        <v>524</v>
      </c>
      <c r="E123" s="3">
        <v>1991</v>
      </c>
      <c r="F123" s="3">
        <v>9048836136</v>
      </c>
      <c r="G123" s="3" t="s">
        <v>13</v>
      </c>
      <c r="H123" s="3">
        <v>2</v>
      </c>
      <c r="I123" s="3" t="s">
        <v>35</v>
      </c>
      <c r="J123" s="3" t="s">
        <v>13</v>
      </c>
      <c r="K123" s="3" t="s">
        <v>13</v>
      </c>
      <c r="L123" s="3" t="s">
        <v>525</v>
      </c>
      <c r="M123" s="3" t="s">
        <v>526</v>
      </c>
      <c r="N123" s="3" t="s">
        <v>13</v>
      </c>
      <c r="O123">
        <v>2</v>
      </c>
      <c r="R123">
        <v>400</v>
      </c>
      <c r="S123">
        <v>100</v>
      </c>
    </row>
    <row r="124" spans="2:19" hidden="1" x14ac:dyDescent="0.2">
      <c r="B124" s="2">
        <v>43061.479730162042</v>
      </c>
      <c r="C124" s="2" t="s">
        <v>651</v>
      </c>
      <c r="D124" s="3" t="s">
        <v>527</v>
      </c>
      <c r="E124" s="3">
        <v>1961</v>
      </c>
      <c r="F124" s="3">
        <v>9444391505</v>
      </c>
      <c r="G124" s="3" t="s">
        <v>13</v>
      </c>
      <c r="H124" s="3" t="s">
        <v>101</v>
      </c>
      <c r="I124" s="3" t="s">
        <v>41</v>
      </c>
      <c r="J124" s="3" t="s">
        <v>13</v>
      </c>
      <c r="K124" s="3" t="s">
        <v>13</v>
      </c>
      <c r="L124" s="3" t="s">
        <v>528</v>
      </c>
      <c r="M124" s="3" t="s">
        <v>529</v>
      </c>
      <c r="N124" s="3" t="s">
        <v>13</v>
      </c>
      <c r="O124">
        <v>1</v>
      </c>
      <c r="R124">
        <v>200</v>
      </c>
      <c r="S124">
        <v>100</v>
      </c>
    </row>
    <row r="125" spans="2:19" hidden="1" x14ac:dyDescent="0.2">
      <c r="B125" s="2">
        <v>43061.483288634263</v>
      </c>
      <c r="C125" s="2" t="s">
        <v>651</v>
      </c>
      <c r="D125" s="3" t="s">
        <v>530</v>
      </c>
      <c r="E125" s="3">
        <v>1990</v>
      </c>
      <c r="F125" s="3">
        <v>994149910</v>
      </c>
      <c r="G125" s="3" t="s">
        <v>13</v>
      </c>
      <c r="H125" s="3">
        <v>1</v>
      </c>
      <c r="I125" s="3" t="s">
        <v>20</v>
      </c>
      <c r="J125" s="3" t="s">
        <v>25</v>
      </c>
      <c r="K125" s="3" t="s">
        <v>25</v>
      </c>
      <c r="L125" s="3" t="s">
        <v>531</v>
      </c>
      <c r="M125" s="3" t="s">
        <v>17</v>
      </c>
      <c r="N125" s="3" t="s">
        <v>25</v>
      </c>
      <c r="O125">
        <v>1</v>
      </c>
    </row>
    <row r="126" spans="2:19" hidden="1" x14ac:dyDescent="0.2">
      <c r="B126" s="2">
        <v>43061.51953237268</v>
      </c>
      <c r="C126" s="2" t="s">
        <v>651</v>
      </c>
      <c r="D126" s="3" t="s">
        <v>532</v>
      </c>
      <c r="E126" s="3">
        <v>1979</v>
      </c>
      <c r="F126" s="3">
        <v>919840067489</v>
      </c>
      <c r="G126" s="3" t="s">
        <v>13</v>
      </c>
      <c r="H126" s="3" t="s">
        <v>533</v>
      </c>
      <c r="I126" s="3" t="s">
        <v>534</v>
      </c>
      <c r="J126" s="3" t="s">
        <v>25</v>
      </c>
      <c r="K126" s="3" t="s">
        <v>25</v>
      </c>
      <c r="L126" s="3" t="s">
        <v>535</v>
      </c>
      <c r="M126" s="3" t="s">
        <v>59</v>
      </c>
      <c r="N126" s="3" t="s">
        <v>25</v>
      </c>
      <c r="O126">
        <v>3</v>
      </c>
    </row>
    <row r="127" spans="2:19" hidden="1" x14ac:dyDescent="0.2">
      <c r="B127" s="2">
        <v>43061.521258032408</v>
      </c>
      <c r="C127" s="2" t="s">
        <v>651</v>
      </c>
      <c r="D127" s="3" t="s">
        <v>536</v>
      </c>
      <c r="E127" s="3">
        <v>1979</v>
      </c>
      <c r="F127" s="3">
        <v>919840067489</v>
      </c>
      <c r="G127" s="3" t="s">
        <v>13</v>
      </c>
      <c r="H127" s="3" t="s">
        <v>537</v>
      </c>
      <c r="I127" s="3" t="s">
        <v>538</v>
      </c>
      <c r="J127" s="3" t="s">
        <v>13</v>
      </c>
      <c r="K127" s="3" t="s">
        <v>13</v>
      </c>
      <c r="L127" s="3" t="s">
        <v>535</v>
      </c>
      <c r="M127" s="3" t="s">
        <v>59</v>
      </c>
      <c r="N127" s="3" t="s">
        <v>13</v>
      </c>
      <c r="O127">
        <v>2</v>
      </c>
      <c r="Q127" s="3" t="s">
        <v>725</v>
      </c>
      <c r="R127">
        <v>400</v>
      </c>
      <c r="S127">
        <v>100</v>
      </c>
    </row>
    <row r="128" spans="2:19" hidden="1" x14ac:dyDescent="0.2">
      <c r="B128" s="2">
        <v>43061.572465474535</v>
      </c>
      <c r="C128" s="2" t="s">
        <v>651</v>
      </c>
      <c r="D128" s="3" t="s">
        <v>539</v>
      </c>
      <c r="E128" s="3">
        <v>1989</v>
      </c>
      <c r="F128" s="3">
        <v>9840057055</v>
      </c>
      <c r="G128" s="3" t="s">
        <v>13</v>
      </c>
      <c r="H128" s="3" t="s">
        <v>540</v>
      </c>
      <c r="I128" s="3" t="s">
        <v>484</v>
      </c>
      <c r="J128" s="3" t="s">
        <v>25</v>
      </c>
      <c r="K128" s="3" t="s">
        <v>13</v>
      </c>
      <c r="L128" s="3" t="s">
        <v>541</v>
      </c>
      <c r="M128" s="3" t="s">
        <v>59</v>
      </c>
      <c r="N128" s="3" t="s">
        <v>25</v>
      </c>
      <c r="O128">
        <v>1</v>
      </c>
    </row>
    <row r="129" spans="2:19" hidden="1" x14ac:dyDescent="0.2">
      <c r="B129" s="2">
        <v>43061.602686168982</v>
      </c>
      <c r="C129" s="2" t="s">
        <v>651</v>
      </c>
      <c r="D129" s="3" t="s">
        <v>542</v>
      </c>
      <c r="E129" s="3">
        <v>1988</v>
      </c>
      <c r="F129" s="3" t="s">
        <v>543</v>
      </c>
      <c r="G129" s="3" t="s">
        <v>13</v>
      </c>
      <c r="H129" s="3">
        <v>1</v>
      </c>
      <c r="I129" s="3" t="s">
        <v>35</v>
      </c>
      <c r="J129" s="3" t="s">
        <v>13</v>
      </c>
      <c r="K129" s="3" t="s">
        <v>13</v>
      </c>
      <c r="L129" s="3" t="s">
        <v>544</v>
      </c>
      <c r="M129" s="3" t="s">
        <v>205</v>
      </c>
      <c r="N129" s="3" t="s">
        <v>13</v>
      </c>
      <c r="O129">
        <v>1</v>
      </c>
      <c r="R129">
        <v>200</v>
      </c>
      <c r="S129">
        <v>100</v>
      </c>
    </row>
    <row r="130" spans="2:19" hidden="1" x14ac:dyDescent="0.2">
      <c r="B130" s="2">
        <v>43061.604185497687</v>
      </c>
      <c r="C130" s="2" t="s">
        <v>651</v>
      </c>
      <c r="D130" s="3" t="s">
        <v>545</v>
      </c>
      <c r="E130" s="3">
        <v>1991</v>
      </c>
      <c r="F130" s="3">
        <v>9884611423</v>
      </c>
      <c r="G130" s="3" t="s">
        <v>13</v>
      </c>
      <c r="H130" s="3">
        <v>0</v>
      </c>
      <c r="I130" s="3" t="s">
        <v>41</v>
      </c>
      <c r="J130" s="3" t="s">
        <v>13</v>
      </c>
      <c r="K130" s="3" t="s">
        <v>13</v>
      </c>
      <c r="L130" s="3" t="s">
        <v>546</v>
      </c>
      <c r="M130" s="3" t="s">
        <v>17</v>
      </c>
      <c r="N130" s="3" t="s">
        <v>13</v>
      </c>
      <c r="O130">
        <v>1</v>
      </c>
      <c r="R130">
        <v>200</v>
      </c>
      <c r="S130">
        <v>100</v>
      </c>
    </row>
    <row r="131" spans="2:19" hidden="1" x14ac:dyDescent="0.2">
      <c r="B131" s="2">
        <v>43061.605912800922</v>
      </c>
      <c r="C131" s="2" t="s">
        <v>651</v>
      </c>
      <c r="D131" s="3" t="s">
        <v>547</v>
      </c>
      <c r="E131" s="3">
        <v>1984</v>
      </c>
      <c r="F131" s="3">
        <v>7904914616</v>
      </c>
      <c r="G131" s="3" t="s">
        <v>13</v>
      </c>
      <c r="H131" s="3" t="s">
        <v>101</v>
      </c>
      <c r="I131" s="3" t="s">
        <v>35</v>
      </c>
      <c r="J131" s="3" t="s">
        <v>25</v>
      </c>
      <c r="K131" s="3" t="s">
        <v>25</v>
      </c>
      <c r="L131" s="3" t="s">
        <v>548</v>
      </c>
      <c r="M131" s="3" t="s">
        <v>59</v>
      </c>
      <c r="N131" s="3" t="s">
        <v>25</v>
      </c>
      <c r="O131">
        <v>1</v>
      </c>
    </row>
    <row r="132" spans="2:19" hidden="1" x14ac:dyDescent="0.2">
      <c r="B132" s="2">
        <v>43061.613164502312</v>
      </c>
      <c r="C132" s="2" t="s">
        <v>651</v>
      </c>
      <c r="D132" s="3" t="s">
        <v>549</v>
      </c>
      <c r="E132" s="3">
        <v>1979</v>
      </c>
      <c r="F132" s="3">
        <v>9841046489</v>
      </c>
      <c r="G132" s="3" t="s">
        <v>13</v>
      </c>
      <c r="H132" s="3" t="s">
        <v>550</v>
      </c>
      <c r="I132" s="3" t="s">
        <v>551</v>
      </c>
      <c r="J132" s="3" t="s">
        <v>13</v>
      </c>
      <c r="K132" s="3" t="s">
        <v>13</v>
      </c>
      <c r="L132" s="3" t="s">
        <v>552</v>
      </c>
      <c r="M132" s="3" t="s">
        <v>59</v>
      </c>
      <c r="N132" s="3" t="s">
        <v>13</v>
      </c>
      <c r="O132">
        <v>3</v>
      </c>
      <c r="Q132" s="7">
        <v>43019</v>
      </c>
      <c r="R132">
        <v>600</v>
      </c>
      <c r="S132">
        <v>100</v>
      </c>
    </row>
    <row r="133" spans="2:19" hidden="1" x14ac:dyDescent="0.2">
      <c r="B133" s="2">
        <v>43061.645713090278</v>
      </c>
      <c r="C133" s="2" t="s">
        <v>651</v>
      </c>
      <c r="D133" s="3" t="s">
        <v>553</v>
      </c>
      <c r="E133" s="3">
        <v>1979</v>
      </c>
      <c r="F133" s="3" t="s">
        <v>554</v>
      </c>
      <c r="G133" s="3" t="s">
        <v>13</v>
      </c>
      <c r="H133" s="3" t="s">
        <v>555</v>
      </c>
      <c r="I133" s="3" t="s">
        <v>556</v>
      </c>
      <c r="J133" s="3" t="s">
        <v>13</v>
      </c>
      <c r="K133" s="3" t="s">
        <v>13</v>
      </c>
      <c r="L133" s="3" t="s">
        <v>557</v>
      </c>
      <c r="M133" s="3" t="s">
        <v>558</v>
      </c>
      <c r="N133" s="3" t="s">
        <v>13</v>
      </c>
      <c r="O133">
        <v>1</v>
      </c>
      <c r="Q133" s="3" t="s">
        <v>725</v>
      </c>
      <c r="R133">
        <v>200</v>
      </c>
      <c r="S133">
        <v>100</v>
      </c>
    </row>
    <row r="134" spans="2:19" hidden="1" x14ac:dyDescent="0.2">
      <c r="B134" s="2">
        <v>43061.65546731482</v>
      </c>
      <c r="C134" s="2" t="s">
        <v>651</v>
      </c>
      <c r="D134" s="3" t="s">
        <v>151</v>
      </c>
      <c r="E134" s="3">
        <v>1991</v>
      </c>
      <c r="F134" s="3">
        <v>9840716164</v>
      </c>
      <c r="G134" s="3" t="s">
        <v>13</v>
      </c>
      <c r="H134" s="3">
        <v>1</v>
      </c>
      <c r="I134" s="3" t="s">
        <v>153</v>
      </c>
      <c r="J134" s="3" t="s">
        <v>25</v>
      </c>
      <c r="K134" s="3" t="s">
        <v>13</v>
      </c>
      <c r="L134" s="3" t="s">
        <v>559</v>
      </c>
      <c r="M134" s="3" t="s">
        <v>84</v>
      </c>
      <c r="N134" s="3" t="s">
        <v>25</v>
      </c>
      <c r="O134">
        <v>1</v>
      </c>
    </row>
    <row r="135" spans="2:19" hidden="1" x14ac:dyDescent="0.2">
      <c r="B135" s="2">
        <v>43061.815782997684</v>
      </c>
      <c r="C135" s="2" t="s">
        <v>651</v>
      </c>
      <c r="D135" s="3" t="s">
        <v>560</v>
      </c>
      <c r="E135" s="3">
        <v>1988</v>
      </c>
      <c r="F135" s="3">
        <v>8939288166</v>
      </c>
      <c r="G135" s="3" t="s">
        <v>13</v>
      </c>
      <c r="H135" s="3">
        <v>2</v>
      </c>
      <c r="I135" s="3" t="s">
        <v>35</v>
      </c>
      <c r="J135" s="3" t="s">
        <v>13</v>
      </c>
      <c r="K135" s="3" t="s">
        <v>13</v>
      </c>
      <c r="L135" s="3">
        <v>1</v>
      </c>
      <c r="M135" s="3" t="s">
        <v>205</v>
      </c>
      <c r="N135" s="3" t="s">
        <v>13</v>
      </c>
      <c r="O135">
        <v>2</v>
      </c>
      <c r="R135">
        <v>400</v>
      </c>
      <c r="S135">
        <v>100</v>
      </c>
    </row>
    <row r="136" spans="2:19" hidden="1" x14ac:dyDescent="0.2">
      <c r="B136" s="2">
        <v>43062.484621307871</v>
      </c>
      <c r="C136" s="2" t="s">
        <v>651</v>
      </c>
      <c r="D136" s="3" t="s">
        <v>561</v>
      </c>
      <c r="E136" s="3">
        <v>1996</v>
      </c>
      <c r="F136" s="3">
        <v>9790990990</v>
      </c>
      <c r="G136" s="3" t="s">
        <v>13</v>
      </c>
      <c r="H136" s="3" t="s">
        <v>562</v>
      </c>
      <c r="I136" s="3" t="s">
        <v>438</v>
      </c>
      <c r="J136" s="3" t="s">
        <v>25</v>
      </c>
      <c r="K136" s="3" t="s">
        <v>13</v>
      </c>
      <c r="L136" s="3" t="s">
        <v>420</v>
      </c>
      <c r="M136" s="3" t="s">
        <v>84</v>
      </c>
      <c r="N136" s="3" t="s">
        <v>25</v>
      </c>
      <c r="O136">
        <v>1</v>
      </c>
      <c r="P136">
        <v>1</v>
      </c>
    </row>
    <row r="137" spans="2:19" hidden="1" x14ac:dyDescent="0.2">
      <c r="B137" s="2">
        <v>43062.490614548609</v>
      </c>
      <c r="C137" s="2" t="s">
        <v>651</v>
      </c>
      <c r="D137" s="3" t="s">
        <v>563</v>
      </c>
      <c r="E137" s="3">
        <v>1995</v>
      </c>
      <c r="F137" s="3">
        <v>9092599733</v>
      </c>
      <c r="G137" s="3" t="s">
        <v>13</v>
      </c>
      <c r="H137" s="3" t="s">
        <v>564</v>
      </c>
      <c r="I137" s="3" t="s">
        <v>35</v>
      </c>
      <c r="J137" s="3" t="s">
        <v>25</v>
      </c>
      <c r="K137" s="3" t="s">
        <v>25</v>
      </c>
      <c r="L137" s="3" t="s">
        <v>565</v>
      </c>
      <c r="M137" s="3" t="s">
        <v>59</v>
      </c>
      <c r="N137" s="3" t="s">
        <v>25</v>
      </c>
      <c r="O137">
        <v>1</v>
      </c>
      <c r="P137">
        <v>2</v>
      </c>
    </row>
    <row r="138" spans="2:19" hidden="1" x14ac:dyDescent="0.2">
      <c r="B138" s="2">
        <v>43062.503401296301</v>
      </c>
      <c r="C138" s="2" t="s">
        <v>651</v>
      </c>
      <c r="D138" s="3" t="s">
        <v>566</v>
      </c>
      <c r="E138" s="3">
        <v>1979</v>
      </c>
      <c r="F138" s="3">
        <v>9840734137</v>
      </c>
      <c r="G138" s="3" t="s">
        <v>13</v>
      </c>
      <c r="H138" s="3">
        <v>1</v>
      </c>
      <c r="I138" s="3" t="s">
        <v>13</v>
      </c>
      <c r="J138" s="3" t="s">
        <v>13</v>
      </c>
      <c r="K138" s="3" t="s">
        <v>13</v>
      </c>
      <c r="L138" s="3" t="s">
        <v>567</v>
      </c>
      <c r="M138" s="3" t="s">
        <v>59</v>
      </c>
      <c r="N138" s="3" t="s">
        <v>13</v>
      </c>
      <c r="O138">
        <v>1</v>
      </c>
      <c r="Q138" s="3" t="s">
        <v>726</v>
      </c>
      <c r="R138">
        <v>200</v>
      </c>
      <c r="S138">
        <v>100</v>
      </c>
    </row>
    <row r="139" spans="2:19" hidden="1" x14ac:dyDescent="0.2">
      <c r="B139" s="2">
        <v>43062.550184560183</v>
      </c>
      <c r="C139" s="2" t="s">
        <v>651</v>
      </c>
      <c r="D139" s="3" t="s">
        <v>568</v>
      </c>
      <c r="E139" s="3">
        <v>1991</v>
      </c>
      <c r="F139" s="3">
        <v>9884213331</v>
      </c>
      <c r="G139" s="3" t="s">
        <v>13</v>
      </c>
      <c r="H139" s="3">
        <v>1</v>
      </c>
      <c r="I139" s="3" t="s">
        <v>25</v>
      </c>
      <c r="J139" s="3" t="s">
        <v>13</v>
      </c>
      <c r="K139" s="3" t="s">
        <v>13</v>
      </c>
      <c r="L139" s="3" t="s">
        <v>569</v>
      </c>
      <c r="M139" s="3" t="s">
        <v>59</v>
      </c>
      <c r="N139" s="3" t="s">
        <v>13</v>
      </c>
      <c r="O139">
        <v>1</v>
      </c>
      <c r="R139">
        <v>200</v>
      </c>
      <c r="S139">
        <v>100</v>
      </c>
    </row>
    <row r="140" spans="2:19" hidden="1" x14ac:dyDescent="0.2">
      <c r="B140" s="2">
        <v>43062.788576990744</v>
      </c>
      <c r="C140" s="2" t="s">
        <v>651</v>
      </c>
      <c r="D140" s="3" t="s">
        <v>570</v>
      </c>
      <c r="E140" s="3">
        <v>1990</v>
      </c>
      <c r="F140" s="3">
        <v>9840735718</v>
      </c>
      <c r="G140" s="3" t="s">
        <v>13</v>
      </c>
      <c r="H140" s="3" t="s">
        <v>571</v>
      </c>
      <c r="I140" s="3" t="s">
        <v>35</v>
      </c>
      <c r="J140" s="3" t="s">
        <v>13</v>
      </c>
      <c r="K140" s="3" t="s">
        <v>13</v>
      </c>
      <c r="L140" s="3" t="s">
        <v>572</v>
      </c>
      <c r="M140" s="3" t="s">
        <v>573</v>
      </c>
      <c r="N140" s="3" t="s">
        <v>13</v>
      </c>
      <c r="O140">
        <v>4</v>
      </c>
      <c r="R140">
        <f>200*4</f>
        <v>800</v>
      </c>
      <c r="S140">
        <v>100</v>
      </c>
    </row>
    <row r="141" spans="2:19" hidden="1" x14ac:dyDescent="0.2">
      <c r="B141" s="2">
        <v>43062.862727418978</v>
      </c>
      <c r="C141" s="2" t="s">
        <v>651</v>
      </c>
      <c r="D141" s="3" t="s">
        <v>574</v>
      </c>
      <c r="E141" s="3">
        <v>1982</v>
      </c>
      <c r="F141" s="3">
        <v>9003024557</v>
      </c>
      <c r="G141" s="3" t="s">
        <v>13</v>
      </c>
      <c r="H141" s="3" t="s">
        <v>101</v>
      </c>
      <c r="I141" s="3" t="s">
        <v>13</v>
      </c>
      <c r="J141" s="3" t="s">
        <v>25</v>
      </c>
      <c r="K141" s="3" t="s">
        <v>25</v>
      </c>
      <c r="L141" s="3" t="s">
        <v>575</v>
      </c>
      <c r="M141" s="3" t="s">
        <v>59</v>
      </c>
      <c r="N141" s="3" t="s">
        <v>25</v>
      </c>
      <c r="O141">
        <v>1</v>
      </c>
    </row>
    <row r="142" spans="2:19" hidden="1" x14ac:dyDescent="0.2">
      <c r="B142" s="2">
        <v>43062.880733888887</v>
      </c>
      <c r="C142" s="2" t="s">
        <v>651</v>
      </c>
      <c r="D142" s="3" t="s">
        <v>577</v>
      </c>
      <c r="E142" s="3">
        <v>1990</v>
      </c>
      <c r="F142" s="3">
        <v>9840244278</v>
      </c>
      <c r="G142" s="3" t="s">
        <v>13</v>
      </c>
      <c r="H142" s="3" t="s">
        <v>40</v>
      </c>
      <c r="I142" s="3" t="s">
        <v>35</v>
      </c>
      <c r="J142" s="3" t="s">
        <v>13</v>
      </c>
      <c r="K142" s="3" t="s">
        <v>13</v>
      </c>
      <c r="L142" s="3" t="s">
        <v>518</v>
      </c>
      <c r="M142" s="3" t="s">
        <v>519</v>
      </c>
      <c r="N142" s="3" t="s">
        <v>13</v>
      </c>
      <c r="O142">
        <v>1</v>
      </c>
      <c r="R142">
        <v>200</v>
      </c>
      <c r="S142">
        <v>100</v>
      </c>
    </row>
    <row r="143" spans="2:19" hidden="1" x14ac:dyDescent="0.2">
      <c r="B143" s="2">
        <v>43062.889899699076</v>
      </c>
      <c r="C143" s="2" t="s">
        <v>651</v>
      </c>
      <c r="D143" s="3" t="s">
        <v>578</v>
      </c>
      <c r="E143" s="3">
        <v>2012</v>
      </c>
      <c r="F143" s="3">
        <v>9500180455</v>
      </c>
      <c r="G143" s="3" t="s">
        <v>13</v>
      </c>
      <c r="H143" s="3">
        <v>1</v>
      </c>
      <c r="I143" s="3" t="s">
        <v>579</v>
      </c>
      <c r="J143" s="3" t="s">
        <v>25</v>
      </c>
      <c r="K143" s="3" t="s">
        <v>13</v>
      </c>
      <c r="L143" s="3" t="s">
        <v>580</v>
      </c>
      <c r="M143" s="3" t="s">
        <v>205</v>
      </c>
      <c r="N143" s="3" t="s">
        <v>25</v>
      </c>
      <c r="O143">
        <v>1</v>
      </c>
    </row>
    <row r="144" spans="2:19" hidden="1" x14ac:dyDescent="0.2">
      <c r="B144" s="2">
        <v>43062.896231331018</v>
      </c>
      <c r="C144" s="2" t="s">
        <v>651</v>
      </c>
      <c r="D144" s="3" t="s">
        <v>581</v>
      </c>
      <c r="E144" s="3">
        <v>1981</v>
      </c>
      <c r="F144" s="3">
        <v>9840328034</v>
      </c>
      <c r="G144" s="3" t="s">
        <v>13</v>
      </c>
      <c r="H144" s="3">
        <v>1</v>
      </c>
      <c r="I144" s="3" t="s">
        <v>13</v>
      </c>
      <c r="J144" s="3" t="s">
        <v>25</v>
      </c>
      <c r="K144" s="3" t="s">
        <v>13</v>
      </c>
      <c r="L144" s="3" t="s">
        <v>582</v>
      </c>
      <c r="M144" s="3" t="s">
        <v>583</v>
      </c>
      <c r="N144" s="3" t="s">
        <v>25</v>
      </c>
      <c r="O144">
        <v>1</v>
      </c>
    </row>
    <row r="145" spans="2:19" hidden="1" x14ac:dyDescent="0.2">
      <c r="B145" s="2">
        <v>43062.901742743052</v>
      </c>
      <c r="C145" s="2" t="s">
        <v>651</v>
      </c>
      <c r="D145" s="3" t="s">
        <v>584</v>
      </c>
      <c r="E145" s="3">
        <v>1981</v>
      </c>
      <c r="F145" s="3">
        <v>9444010647</v>
      </c>
      <c r="G145" s="3" t="s">
        <v>13</v>
      </c>
      <c r="H145" s="3" t="s">
        <v>250</v>
      </c>
      <c r="I145" s="3" t="s">
        <v>279</v>
      </c>
      <c r="J145" s="3" t="s">
        <v>13</v>
      </c>
      <c r="K145" s="3" t="s">
        <v>13</v>
      </c>
      <c r="L145" s="3" t="s">
        <v>585</v>
      </c>
      <c r="M145" s="3" t="s">
        <v>586</v>
      </c>
      <c r="N145" s="3" t="s">
        <v>13</v>
      </c>
      <c r="O145">
        <v>1</v>
      </c>
      <c r="R145">
        <v>200</v>
      </c>
      <c r="S145">
        <v>100</v>
      </c>
    </row>
    <row r="146" spans="2:19" hidden="1" x14ac:dyDescent="0.2">
      <c r="B146" s="2">
        <v>43062.931200173611</v>
      </c>
      <c r="C146" s="2" t="s">
        <v>651</v>
      </c>
      <c r="D146" s="3" t="s">
        <v>587</v>
      </c>
      <c r="E146" s="3">
        <v>1985</v>
      </c>
      <c r="F146" s="3">
        <v>9444018560</v>
      </c>
      <c r="G146" s="3" t="s">
        <v>13</v>
      </c>
      <c r="H146" s="3" t="s">
        <v>101</v>
      </c>
      <c r="I146" s="3" t="s">
        <v>35</v>
      </c>
      <c r="J146" s="3" t="s">
        <v>25</v>
      </c>
      <c r="K146" s="3" t="s">
        <v>13</v>
      </c>
      <c r="L146" s="3" t="s">
        <v>588</v>
      </c>
      <c r="M146" s="3" t="s">
        <v>59</v>
      </c>
      <c r="N146" s="3" t="s">
        <v>25</v>
      </c>
      <c r="O146">
        <v>1</v>
      </c>
    </row>
    <row r="147" spans="2:19" x14ac:dyDescent="0.2">
      <c r="B147" s="2">
        <v>43062.9331337037</v>
      </c>
      <c r="C147" s="2" t="s">
        <v>651</v>
      </c>
      <c r="D147" s="3" t="s">
        <v>589</v>
      </c>
      <c r="E147" s="3">
        <v>1988</v>
      </c>
      <c r="F147" s="3">
        <v>9840117000</v>
      </c>
      <c r="G147" s="3" t="s">
        <v>13</v>
      </c>
      <c r="H147" s="3" t="s">
        <v>101</v>
      </c>
      <c r="I147" s="3" t="s">
        <v>20</v>
      </c>
      <c r="J147" s="3" t="s">
        <v>13</v>
      </c>
      <c r="K147" s="3" t="s">
        <v>25</v>
      </c>
      <c r="L147" s="3" t="s">
        <v>590</v>
      </c>
      <c r="M147" s="3" t="s">
        <v>59</v>
      </c>
      <c r="N147" s="3" t="s">
        <v>25</v>
      </c>
      <c r="O147">
        <v>1</v>
      </c>
    </row>
    <row r="148" spans="2:19" hidden="1" x14ac:dyDescent="0.2">
      <c r="B148" s="2">
        <v>43062.957323900468</v>
      </c>
      <c r="C148" s="2" t="s">
        <v>651</v>
      </c>
      <c r="D148" s="3" t="s">
        <v>591</v>
      </c>
      <c r="E148" s="3">
        <v>1984</v>
      </c>
      <c r="F148" s="3">
        <v>9884078601</v>
      </c>
      <c r="G148" s="3" t="s">
        <v>13</v>
      </c>
      <c r="H148" s="3">
        <v>1</v>
      </c>
      <c r="I148" s="3" t="s">
        <v>13</v>
      </c>
      <c r="J148" s="3" t="s">
        <v>25</v>
      </c>
      <c r="K148" s="3" t="s">
        <v>13</v>
      </c>
      <c r="L148" s="3" t="s">
        <v>592</v>
      </c>
      <c r="M148" s="3" t="s">
        <v>59</v>
      </c>
      <c r="N148" s="3" t="s">
        <v>25</v>
      </c>
      <c r="O148">
        <v>1</v>
      </c>
    </row>
    <row r="149" spans="2:19" hidden="1" x14ac:dyDescent="0.2">
      <c r="B149" s="2">
        <v>43063.300783495375</v>
      </c>
      <c r="C149" s="2" t="s">
        <v>651</v>
      </c>
      <c r="D149" s="3" t="s">
        <v>595</v>
      </c>
      <c r="E149" s="3">
        <v>1981</v>
      </c>
      <c r="F149" s="3">
        <v>9884047796</v>
      </c>
      <c r="G149" s="3" t="s">
        <v>13</v>
      </c>
      <c r="H149" s="3" t="s">
        <v>92</v>
      </c>
      <c r="I149" s="3" t="s">
        <v>15</v>
      </c>
      <c r="J149" s="3" t="s">
        <v>25</v>
      </c>
      <c r="K149" s="3" t="s">
        <v>25</v>
      </c>
      <c r="L149" s="3" t="s">
        <v>596</v>
      </c>
      <c r="M149" s="3" t="s">
        <v>59</v>
      </c>
      <c r="N149" s="3" t="s">
        <v>25</v>
      </c>
      <c r="O149">
        <v>1</v>
      </c>
    </row>
    <row r="150" spans="2:19" hidden="1" x14ac:dyDescent="0.2">
      <c r="B150" s="2">
        <v>43063.343677268524</v>
      </c>
      <c r="C150" s="2" t="s">
        <v>651</v>
      </c>
      <c r="D150" s="3" t="s">
        <v>597</v>
      </c>
      <c r="E150" s="3">
        <v>1981</v>
      </c>
      <c r="F150" s="3">
        <v>9445149445</v>
      </c>
      <c r="G150" s="3" t="s">
        <v>13</v>
      </c>
      <c r="H150" s="3" t="s">
        <v>598</v>
      </c>
      <c r="I150" s="3" t="s">
        <v>599</v>
      </c>
      <c r="J150" s="3" t="s">
        <v>25</v>
      </c>
      <c r="K150" s="3" t="s">
        <v>25</v>
      </c>
      <c r="L150" s="3" t="s">
        <v>276</v>
      </c>
      <c r="M150" s="3" t="s">
        <v>59</v>
      </c>
      <c r="N150" s="3" t="s">
        <v>25</v>
      </c>
      <c r="O150">
        <v>3</v>
      </c>
    </row>
    <row r="151" spans="2:19" hidden="1" x14ac:dyDescent="0.2">
      <c r="B151" s="2">
        <v>43063.467357060188</v>
      </c>
      <c r="C151" s="2" t="s">
        <v>651</v>
      </c>
      <c r="D151" s="3" t="s">
        <v>600</v>
      </c>
      <c r="E151" s="3">
        <v>1988</v>
      </c>
      <c r="F151" s="3">
        <v>9885032015</v>
      </c>
      <c r="G151" s="3" t="s">
        <v>13</v>
      </c>
      <c r="H151" s="3">
        <v>2</v>
      </c>
      <c r="I151" s="3" t="s">
        <v>13</v>
      </c>
      <c r="J151" s="3" t="s">
        <v>25</v>
      </c>
      <c r="K151" s="3" t="s">
        <v>13</v>
      </c>
      <c r="L151" s="3" t="s">
        <v>601</v>
      </c>
      <c r="M151" s="3" t="s">
        <v>602</v>
      </c>
      <c r="N151" s="3" t="s">
        <v>25</v>
      </c>
      <c r="O151">
        <v>2</v>
      </c>
    </row>
    <row r="152" spans="2:19" hidden="1" x14ac:dyDescent="0.2">
      <c r="B152" s="2">
        <v>43063.489800474534</v>
      </c>
      <c r="C152" s="2" t="s">
        <v>651</v>
      </c>
      <c r="D152" s="3" t="s">
        <v>603</v>
      </c>
      <c r="E152" s="3">
        <v>1990</v>
      </c>
      <c r="F152" s="3">
        <v>9840350724</v>
      </c>
      <c r="G152" s="3" t="s">
        <v>13</v>
      </c>
      <c r="H152" s="3" t="s">
        <v>604</v>
      </c>
      <c r="I152" s="3" t="s">
        <v>605</v>
      </c>
      <c r="J152" s="3" t="s">
        <v>13</v>
      </c>
      <c r="K152" s="3" t="s">
        <v>13</v>
      </c>
      <c r="L152" s="3" t="s">
        <v>606</v>
      </c>
      <c r="M152" s="3" t="s">
        <v>59</v>
      </c>
      <c r="N152" s="3" t="s">
        <v>13</v>
      </c>
      <c r="O152">
        <v>2</v>
      </c>
      <c r="P152">
        <v>1</v>
      </c>
      <c r="R152">
        <f>200*3</f>
        <v>600</v>
      </c>
      <c r="S152">
        <v>100</v>
      </c>
    </row>
    <row r="153" spans="2:19" hidden="1" x14ac:dyDescent="0.2">
      <c r="B153" s="2">
        <v>43063.534392199072</v>
      </c>
      <c r="C153" s="2" t="s">
        <v>651</v>
      </c>
      <c r="D153" s="3" t="s">
        <v>607</v>
      </c>
      <c r="E153" s="3">
        <v>1991</v>
      </c>
      <c r="F153" s="3">
        <v>9943388833</v>
      </c>
      <c r="G153" s="3" t="s">
        <v>13</v>
      </c>
      <c r="H153" s="3" t="s">
        <v>92</v>
      </c>
      <c r="I153" s="3" t="s">
        <v>13</v>
      </c>
      <c r="J153" s="3" t="s">
        <v>13</v>
      </c>
      <c r="K153" s="3" t="s">
        <v>13</v>
      </c>
      <c r="L153" s="3" t="s">
        <v>608</v>
      </c>
      <c r="M153" s="3" t="s">
        <v>59</v>
      </c>
      <c r="N153" s="3" t="s">
        <v>13</v>
      </c>
      <c r="O153">
        <v>1</v>
      </c>
      <c r="R153">
        <v>200</v>
      </c>
      <c r="S153">
        <v>100</v>
      </c>
    </row>
    <row r="154" spans="2:19" hidden="1" x14ac:dyDescent="0.2">
      <c r="B154" s="2">
        <v>43063.73371951389</v>
      </c>
      <c r="C154" s="2" t="s">
        <v>651</v>
      </c>
      <c r="D154" s="3" t="s">
        <v>609</v>
      </c>
      <c r="E154" s="3">
        <v>1988</v>
      </c>
      <c r="F154" s="3">
        <v>9841423786</v>
      </c>
      <c r="G154" s="3" t="s">
        <v>13</v>
      </c>
      <c r="H154" s="3">
        <v>1</v>
      </c>
      <c r="I154" s="3" t="s">
        <v>13</v>
      </c>
      <c r="J154" s="3" t="s">
        <v>13</v>
      </c>
      <c r="K154" s="3" t="s">
        <v>13</v>
      </c>
      <c r="L154" s="3" t="s">
        <v>610</v>
      </c>
      <c r="M154" s="3" t="s">
        <v>59</v>
      </c>
      <c r="N154" s="3" t="s">
        <v>13</v>
      </c>
      <c r="O154">
        <v>1</v>
      </c>
      <c r="R154">
        <v>200</v>
      </c>
      <c r="S154">
        <v>100</v>
      </c>
    </row>
    <row r="155" spans="2:19" hidden="1" x14ac:dyDescent="0.2">
      <c r="B155" s="2">
        <v>43063.884979050927</v>
      </c>
      <c r="C155" s="2" t="s">
        <v>651</v>
      </c>
      <c r="D155" s="3" t="s">
        <v>611</v>
      </c>
      <c r="E155" s="3">
        <v>1981</v>
      </c>
      <c r="F155" s="3">
        <v>9884421428</v>
      </c>
      <c r="G155" s="3" t="s">
        <v>13</v>
      </c>
      <c r="H155" s="3">
        <v>1</v>
      </c>
      <c r="I155" s="3" t="s">
        <v>141</v>
      </c>
      <c r="J155" s="3" t="s">
        <v>25</v>
      </c>
      <c r="K155" s="3" t="s">
        <v>25</v>
      </c>
      <c r="L155" s="3" t="s">
        <v>612</v>
      </c>
      <c r="M155" s="3" t="s">
        <v>59</v>
      </c>
      <c r="N155" s="3" t="s">
        <v>25</v>
      </c>
      <c r="O155">
        <v>1</v>
      </c>
    </row>
    <row r="156" spans="2:19" hidden="1" x14ac:dyDescent="0.2">
      <c r="B156" s="2">
        <v>43063.886776435189</v>
      </c>
      <c r="C156" s="2" t="s">
        <v>651</v>
      </c>
      <c r="D156" s="3" t="s">
        <v>613</v>
      </c>
      <c r="E156" s="3">
        <v>1988</v>
      </c>
      <c r="F156" s="3">
        <v>9941917866</v>
      </c>
      <c r="G156" s="3" t="s">
        <v>13</v>
      </c>
      <c r="H156" s="3" t="s">
        <v>40</v>
      </c>
      <c r="I156" s="3" t="s">
        <v>141</v>
      </c>
      <c r="J156" s="3" t="s">
        <v>25</v>
      </c>
      <c r="K156" s="3" t="s">
        <v>25</v>
      </c>
      <c r="L156" s="3" t="s">
        <v>614</v>
      </c>
      <c r="M156" s="3" t="s">
        <v>59</v>
      </c>
      <c r="N156" s="3" t="s">
        <v>25</v>
      </c>
      <c r="O156">
        <v>1</v>
      </c>
    </row>
    <row r="157" spans="2:19" hidden="1" x14ac:dyDescent="0.2">
      <c r="B157" s="2">
        <v>43063.940754791663</v>
      </c>
      <c r="C157" s="2" t="s">
        <v>651</v>
      </c>
      <c r="D157" s="3" t="s">
        <v>617</v>
      </c>
      <c r="E157" s="3">
        <v>1981</v>
      </c>
      <c r="F157" s="3">
        <v>9840218084</v>
      </c>
      <c r="G157" s="3" t="s">
        <v>13</v>
      </c>
      <c r="H157" s="3">
        <v>1</v>
      </c>
      <c r="I157" s="3" t="s">
        <v>15</v>
      </c>
      <c r="J157" s="3" t="s">
        <v>25</v>
      </c>
      <c r="K157" s="3" t="s">
        <v>13</v>
      </c>
      <c r="L157" s="3" t="s">
        <v>618</v>
      </c>
      <c r="M157" s="3" t="s">
        <v>59</v>
      </c>
      <c r="N157" s="3" t="s">
        <v>25</v>
      </c>
      <c r="O157">
        <v>1</v>
      </c>
    </row>
    <row r="158" spans="2:19" hidden="1" x14ac:dyDescent="0.2">
      <c r="B158" s="2">
        <v>43063.949981157406</v>
      </c>
      <c r="C158" s="2" t="s">
        <v>651</v>
      </c>
      <c r="D158" s="3" t="s">
        <v>619</v>
      </c>
      <c r="E158" s="3">
        <v>1982</v>
      </c>
      <c r="F158" s="3">
        <v>9444131988</v>
      </c>
      <c r="G158" s="3" t="s">
        <v>13</v>
      </c>
      <c r="H158" s="3">
        <v>3</v>
      </c>
      <c r="I158" s="3" t="s">
        <v>620</v>
      </c>
      <c r="J158" s="3" t="s">
        <v>25</v>
      </c>
      <c r="K158" s="3" t="s">
        <v>13</v>
      </c>
      <c r="L158" s="3" t="s">
        <v>621</v>
      </c>
      <c r="M158" s="3" t="s">
        <v>59</v>
      </c>
      <c r="N158" s="3" t="s">
        <v>25</v>
      </c>
      <c r="O158">
        <v>3</v>
      </c>
    </row>
    <row r="159" spans="2:19" x14ac:dyDescent="0.2">
      <c r="B159" s="2">
        <v>43064.474815254631</v>
      </c>
      <c r="C159" s="2" t="s">
        <v>651</v>
      </c>
      <c r="D159" s="3" t="s">
        <v>70</v>
      </c>
      <c r="E159" s="3">
        <v>1995</v>
      </c>
      <c r="F159" s="3">
        <v>9710733174</v>
      </c>
      <c r="G159" s="3" t="s">
        <v>13</v>
      </c>
      <c r="H159" s="3" t="s">
        <v>625</v>
      </c>
      <c r="I159" s="3" t="s">
        <v>15</v>
      </c>
      <c r="J159" s="3" t="s">
        <v>13</v>
      </c>
      <c r="K159" s="3" t="s">
        <v>25</v>
      </c>
      <c r="L159" s="3" t="s">
        <v>73</v>
      </c>
      <c r="M159" s="3" t="s">
        <v>59</v>
      </c>
      <c r="N159" s="3" t="s">
        <v>13</v>
      </c>
      <c r="O159">
        <v>2</v>
      </c>
      <c r="P159">
        <v>4</v>
      </c>
      <c r="Q159" s="3" t="s">
        <v>738</v>
      </c>
      <c r="R159">
        <v>400</v>
      </c>
      <c r="S159">
        <v>100</v>
      </c>
    </row>
    <row r="160" spans="2:19" hidden="1" x14ac:dyDescent="0.2">
      <c r="B160" s="2">
        <v>43064.493463715276</v>
      </c>
      <c r="C160" s="2" t="s">
        <v>651</v>
      </c>
      <c r="D160" s="3" t="s">
        <v>626</v>
      </c>
      <c r="E160" s="3">
        <v>1990</v>
      </c>
      <c r="F160" s="3">
        <v>9840200845</v>
      </c>
      <c r="G160" s="3" t="s">
        <v>13</v>
      </c>
      <c r="H160" s="3" t="s">
        <v>30</v>
      </c>
      <c r="I160" s="3" t="s">
        <v>627</v>
      </c>
      <c r="J160" s="3" t="s">
        <v>13</v>
      </c>
      <c r="K160" s="3" t="s">
        <v>13</v>
      </c>
      <c r="L160" s="3" t="s">
        <v>628</v>
      </c>
      <c r="M160" s="3" t="s">
        <v>629</v>
      </c>
      <c r="N160" s="3" t="s">
        <v>13</v>
      </c>
      <c r="O160">
        <v>1</v>
      </c>
      <c r="R160">
        <v>200</v>
      </c>
      <c r="S160">
        <v>100</v>
      </c>
    </row>
    <row r="161" spans="2:19" hidden="1" x14ac:dyDescent="0.2">
      <c r="B161" s="2">
        <v>43064.507259143516</v>
      </c>
      <c r="C161" s="2" t="s">
        <v>651</v>
      </c>
      <c r="D161" s="3" t="s">
        <v>630</v>
      </c>
      <c r="E161" s="3">
        <v>1979</v>
      </c>
      <c r="F161" s="3">
        <v>9884084488</v>
      </c>
      <c r="G161" s="3" t="s">
        <v>13</v>
      </c>
      <c r="H161" s="3">
        <v>1</v>
      </c>
      <c r="I161" s="3" t="s">
        <v>13</v>
      </c>
      <c r="J161" s="3" t="s">
        <v>13</v>
      </c>
      <c r="K161" s="3" t="s">
        <v>13</v>
      </c>
      <c r="L161" s="3" t="s">
        <v>631</v>
      </c>
      <c r="M161" s="3" t="s">
        <v>59</v>
      </c>
      <c r="N161" s="3" t="s">
        <v>13</v>
      </c>
      <c r="O161">
        <v>1</v>
      </c>
      <c r="Q161" s="7">
        <v>42897</v>
      </c>
      <c r="R161">
        <v>200</v>
      </c>
      <c r="S161">
        <v>100</v>
      </c>
    </row>
    <row r="162" spans="2:19" hidden="1" x14ac:dyDescent="0.2">
      <c r="B162" s="2">
        <v>43064.538817662033</v>
      </c>
      <c r="C162" s="2" t="s">
        <v>651</v>
      </c>
      <c r="D162" s="3" t="s">
        <v>638</v>
      </c>
      <c r="E162" s="3">
        <v>1984</v>
      </c>
      <c r="F162" s="3">
        <v>9445903770</v>
      </c>
      <c r="G162" s="3" t="s">
        <v>13</v>
      </c>
      <c r="H162" s="3" t="s">
        <v>639</v>
      </c>
      <c r="I162" s="3" t="s">
        <v>15</v>
      </c>
      <c r="J162" s="3" t="s">
        <v>25</v>
      </c>
      <c r="K162" s="3" t="s">
        <v>13</v>
      </c>
      <c r="L162" s="3" t="s">
        <v>640</v>
      </c>
      <c r="M162" s="3" t="s">
        <v>59</v>
      </c>
      <c r="N162" s="3" t="s">
        <v>25</v>
      </c>
      <c r="O162">
        <v>1</v>
      </c>
    </row>
    <row r="163" spans="2:19" hidden="1" x14ac:dyDescent="0.2">
      <c r="B163" s="2">
        <v>43064.70639821759</v>
      </c>
      <c r="C163" s="2" t="s">
        <v>651</v>
      </c>
      <c r="D163" s="3" t="s">
        <v>641</v>
      </c>
      <c r="E163" s="3">
        <v>1990</v>
      </c>
      <c r="F163" s="3">
        <v>9840556916</v>
      </c>
      <c r="G163" s="3" t="s">
        <v>13</v>
      </c>
      <c r="H163" s="3" t="s">
        <v>25</v>
      </c>
      <c r="I163" s="3" t="s">
        <v>13</v>
      </c>
      <c r="J163" s="3" t="s">
        <v>25</v>
      </c>
      <c r="K163" s="3" t="s">
        <v>13</v>
      </c>
      <c r="L163" s="3" t="s">
        <v>642</v>
      </c>
      <c r="M163" s="3" t="s">
        <v>59</v>
      </c>
      <c r="N163" s="3" t="s">
        <v>25</v>
      </c>
      <c r="O163">
        <v>1</v>
      </c>
    </row>
    <row r="164" spans="2:19" x14ac:dyDescent="0.2">
      <c r="B164" s="2">
        <v>43064.781586296296</v>
      </c>
      <c r="C164" s="2" t="s">
        <v>651</v>
      </c>
      <c r="D164" s="3" t="s">
        <v>643</v>
      </c>
      <c r="E164" s="3">
        <v>1990</v>
      </c>
      <c r="F164" s="3">
        <v>9884832397</v>
      </c>
      <c r="G164" s="3" t="s">
        <v>13</v>
      </c>
      <c r="H164" s="3">
        <v>1</v>
      </c>
      <c r="I164" s="3" t="s">
        <v>13</v>
      </c>
      <c r="J164" s="3" t="s">
        <v>13</v>
      </c>
      <c r="K164" s="3" t="s">
        <v>25</v>
      </c>
      <c r="L164" s="3" t="s">
        <v>644</v>
      </c>
      <c r="M164" s="3" t="s">
        <v>59</v>
      </c>
      <c r="N164" s="3" t="s">
        <v>13</v>
      </c>
      <c r="O164">
        <v>1</v>
      </c>
      <c r="R164">
        <v>200</v>
      </c>
      <c r="S164">
        <v>100</v>
      </c>
    </row>
    <row r="165" spans="2:19" hidden="1" x14ac:dyDescent="0.2">
      <c r="B165" s="2">
        <v>43064.80422982639</v>
      </c>
      <c r="C165" s="2" t="s">
        <v>651</v>
      </c>
      <c r="D165" s="3" t="s">
        <v>645</v>
      </c>
      <c r="E165" s="3">
        <v>1990</v>
      </c>
      <c r="F165" s="3">
        <v>9003270133</v>
      </c>
      <c r="G165" s="3" t="s">
        <v>13</v>
      </c>
      <c r="H165" s="3" t="s">
        <v>646</v>
      </c>
      <c r="I165" s="3">
        <v>4</v>
      </c>
      <c r="J165" s="3" t="s">
        <v>13</v>
      </c>
      <c r="K165" s="3" t="s">
        <v>13</v>
      </c>
      <c r="L165" s="3" t="s">
        <v>647</v>
      </c>
      <c r="M165" s="3" t="s">
        <v>648</v>
      </c>
      <c r="N165" s="3" t="s">
        <v>13</v>
      </c>
      <c r="O165">
        <v>3</v>
      </c>
      <c r="P165">
        <v>1</v>
      </c>
      <c r="R165">
        <f>4*200</f>
        <v>800</v>
      </c>
      <c r="S165">
        <v>100</v>
      </c>
    </row>
    <row r="166" spans="2:19" hidden="1" x14ac:dyDescent="0.2">
      <c r="C166" s="4" t="s">
        <v>652</v>
      </c>
      <c r="D166" t="s">
        <v>653</v>
      </c>
      <c r="E166">
        <v>1964</v>
      </c>
      <c r="F166">
        <v>919841326849</v>
      </c>
      <c r="G166" t="s">
        <v>13</v>
      </c>
      <c r="H166">
        <v>1</v>
      </c>
      <c r="I166" t="s">
        <v>141</v>
      </c>
      <c r="J166" t="s">
        <v>25</v>
      </c>
      <c r="L166" s="6" t="s">
        <v>678</v>
      </c>
      <c r="M166" t="s">
        <v>679</v>
      </c>
      <c r="N166" t="s">
        <v>13</v>
      </c>
      <c r="O166">
        <v>1</v>
      </c>
      <c r="Q166" t="s">
        <v>694</v>
      </c>
      <c r="R166">
        <v>200</v>
      </c>
      <c r="S166">
        <v>100</v>
      </c>
    </row>
    <row r="167" spans="2:19" hidden="1" x14ac:dyDescent="0.2">
      <c r="C167" s="4" t="s">
        <v>652</v>
      </c>
      <c r="D167" t="s">
        <v>654</v>
      </c>
      <c r="E167">
        <v>1964</v>
      </c>
      <c r="F167">
        <v>919940208512</v>
      </c>
      <c r="G167" t="s">
        <v>13</v>
      </c>
      <c r="H167">
        <v>1</v>
      </c>
      <c r="I167" t="s">
        <v>141</v>
      </c>
      <c r="J167" t="s">
        <v>25</v>
      </c>
      <c r="M167" t="s">
        <v>680</v>
      </c>
      <c r="N167" t="s">
        <v>13</v>
      </c>
      <c r="O167">
        <v>1</v>
      </c>
      <c r="Q167" t="s">
        <v>694</v>
      </c>
      <c r="R167">
        <v>200</v>
      </c>
      <c r="S167">
        <v>100</v>
      </c>
    </row>
    <row r="168" spans="2:19" hidden="1" x14ac:dyDescent="0.2">
      <c r="C168" s="4" t="s">
        <v>652</v>
      </c>
      <c r="D168" t="s">
        <v>655</v>
      </c>
      <c r="E168">
        <v>1964</v>
      </c>
      <c r="F168">
        <v>919840155520</v>
      </c>
      <c r="G168" t="s">
        <v>13</v>
      </c>
      <c r="H168">
        <v>1</v>
      </c>
      <c r="I168" t="s">
        <v>141</v>
      </c>
      <c r="J168" t="s">
        <v>25</v>
      </c>
      <c r="M168" t="s">
        <v>681</v>
      </c>
      <c r="N168" t="s">
        <v>13</v>
      </c>
      <c r="O168">
        <v>1</v>
      </c>
      <c r="Q168" t="s">
        <v>694</v>
      </c>
      <c r="R168">
        <v>200</v>
      </c>
      <c r="S168">
        <v>100</v>
      </c>
    </row>
    <row r="169" spans="2:19" x14ac:dyDescent="0.2">
      <c r="C169" s="4" t="s">
        <v>652</v>
      </c>
      <c r="D169" t="s">
        <v>656</v>
      </c>
      <c r="E169">
        <v>1975</v>
      </c>
      <c r="F169">
        <v>919840453668</v>
      </c>
      <c r="G169" t="s">
        <v>13</v>
      </c>
      <c r="H169">
        <v>2</v>
      </c>
      <c r="I169" t="s">
        <v>682</v>
      </c>
      <c r="J169" t="s">
        <v>13</v>
      </c>
      <c r="K169" t="s">
        <v>25</v>
      </c>
      <c r="L169" s="6" t="s">
        <v>683</v>
      </c>
      <c r="M169" t="s">
        <v>684</v>
      </c>
      <c r="N169" t="s">
        <v>13</v>
      </c>
      <c r="O169">
        <v>2</v>
      </c>
      <c r="Q169" t="s">
        <v>694</v>
      </c>
      <c r="R169">
        <v>400</v>
      </c>
      <c r="S169">
        <v>100</v>
      </c>
    </row>
    <row r="170" spans="2:19" hidden="1" x14ac:dyDescent="0.2">
      <c r="C170" s="4" t="s">
        <v>652</v>
      </c>
      <c r="D170" t="s">
        <v>657</v>
      </c>
      <c r="E170">
        <v>1993</v>
      </c>
      <c r="G170" t="s">
        <v>13</v>
      </c>
      <c r="H170">
        <v>1</v>
      </c>
      <c r="I170" t="s">
        <v>141</v>
      </c>
      <c r="J170" t="s">
        <v>25</v>
      </c>
      <c r="K170" t="s">
        <v>25</v>
      </c>
      <c r="M170" t="s">
        <v>685</v>
      </c>
      <c r="N170" t="s">
        <v>13</v>
      </c>
      <c r="O170">
        <v>1</v>
      </c>
      <c r="Q170" t="s">
        <v>694</v>
      </c>
      <c r="R170">
        <v>200</v>
      </c>
      <c r="S170">
        <v>100</v>
      </c>
    </row>
    <row r="171" spans="2:19" hidden="1" x14ac:dyDescent="0.2">
      <c r="C171" s="4" t="s">
        <v>652</v>
      </c>
      <c r="D171" s="4" t="s">
        <v>658</v>
      </c>
      <c r="E171">
        <v>1993</v>
      </c>
      <c r="G171" t="s">
        <v>13</v>
      </c>
      <c r="H171">
        <v>1</v>
      </c>
      <c r="I171" t="s">
        <v>141</v>
      </c>
      <c r="J171" s="4" t="s">
        <v>13</v>
      </c>
      <c r="K171" s="4" t="s">
        <v>13</v>
      </c>
      <c r="N171" t="s">
        <v>13</v>
      </c>
      <c r="O171">
        <v>1</v>
      </c>
      <c r="Q171" s="4" t="s">
        <v>695</v>
      </c>
      <c r="R171">
        <v>200</v>
      </c>
      <c r="S171">
        <v>100</v>
      </c>
    </row>
    <row r="172" spans="2:19" ht="25.5" hidden="1" x14ac:dyDescent="0.2">
      <c r="C172" s="4" t="s">
        <v>652</v>
      </c>
      <c r="D172" s="5" t="s">
        <v>659</v>
      </c>
      <c r="E172">
        <v>1970</v>
      </c>
      <c r="G172" s="4" t="s">
        <v>13</v>
      </c>
      <c r="H172">
        <v>2</v>
      </c>
      <c r="I172" t="s">
        <v>141</v>
      </c>
      <c r="J172" s="4" t="s">
        <v>25</v>
      </c>
      <c r="K172" s="4" t="s">
        <v>25</v>
      </c>
      <c r="N172" s="4" t="s">
        <v>13</v>
      </c>
      <c r="O172">
        <v>2</v>
      </c>
      <c r="P172" s="4"/>
      <c r="Q172" s="4" t="s">
        <v>695</v>
      </c>
      <c r="R172">
        <v>200</v>
      </c>
      <c r="S172">
        <v>100</v>
      </c>
    </row>
    <row r="173" spans="2:19" hidden="1" x14ac:dyDescent="0.2">
      <c r="C173" s="4" t="s">
        <v>652</v>
      </c>
      <c r="D173" s="4" t="s">
        <v>660</v>
      </c>
      <c r="E173">
        <v>2003</v>
      </c>
      <c r="G173" s="4" t="s">
        <v>13</v>
      </c>
      <c r="H173">
        <v>2</v>
      </c>
      <c r="I173" t="s">
        <v>141</v>
      </c>
      <c r="J173" s="4" t="s">
        <v>25</v>
      </c>
      <c r="K173" s="4" t="s">
        <v>25</v>
      </c>
      <c r="N173" s="4" t="s">
        <v>13</v>
      </c>
      <c r="O173">
        <v>2</v>
      </c>
      <c r="Q173" s="4" t="s">
        <v>695</v>
      </c>
      <c r="R173">
        <v>200</v>
      </c>
      <c r="S173">
        <v>100</v>
      </c>
    </row>
    <row r="174" spans="2:19" hidden="1" x14ac:dyDescent="0.2">
      <c r="C174" s="4" t="s">
        <v>652</v>
      </c>
      <c r="D174" s="4" t="s">
        <v>661</v>
      </c>
      <c r="E174">
        <v>2007</v>
      </c>
      <c r="G174" s="4" t="s">
        <v>13</v>
      </c>
      <c r="H174">
        <v>2</v>
      </c>
      <c r="I174" t="s">
        <v>141</v>
      </c>
      <c r="J174" s="4" t="s">
        <v>25</v>
      </c>
      <c r="K174" s="4" t="s">
        <v>25</v>
      </c>
      <c r="N174" s="4" t="s">
        <v>13</v>
      </c>
      <c r="O174">
        <v>2</v>
      </c>
      <c r="Q174" s="4" t="s">
        <v>695</v>
      </c>
      <c r="R174">
        <v>400</v>
      </c>
      <c r="S174">
        <v>100</v>
      </c>
    </row>
    <row r="175" spans="2:19" hidden="1" x14ac:dyDescent="0.2">
      <c r="C175" s="4" t="s">
        <v>652</v>
      </c>
      <c r="D175" s="4" t="s">
        <v>662</v>
      </c>
      <c r="G175" s="4" t="s">
        <v>13</v>
      </c>
      <c r="H175">
        <v>2</v>
      </c>
      <c r="I175" t="s">
        <v>141</v>
      </c>
      <c r="J175" s="4" t="s">
        <v>25</v>
      </c>
      <c r="K175" s="4" t="s">
        <v>25</v>
      </c>
      <c r="N175" s="4" t="s">
        <v>13</v>
      </c>
      <c r="O175">
        <v>2</v>
      </c>
      <c r="Q175" s="4" t="s">
        <v>695</v>
      </c>
      <c r="R175">
        <v>200</v>
      </c>
      <c r="S175">
        <v>100</v>
      </c>
    </row>
    <row r="176" spans="2:19" hidden="1" x14ac:dyDescent="0.2">
      <c r="C176" s="4" t="s">
        <v>652</v>
      </c>
      <c r="D176" s="4" t="s">
        <v>663</v>
      </c>
      <c r="G176" s="4" t="s">
        <v>13</v>
      </c>
      <c r="H176">
        <v>1</v>
      </c>
      <c r="I176" t="s">
        <v>141</v>
      </c>
      <c r="J176" s="4" t="s">
        <v>25</v>
      </c>
      <c r="K176" s="4" t="s">
        <v>25</v>
      </c>
      <c r="N176" s="4" t="s">
        <v>13</v>
      </c>
      <c r="O176">
        <v>1</v>
      </c>
      <c r="Q176" s="4" t="s">
        <v>695</v>
      </c>
      <c r="R176">
        <v>200</v>
      </c>
    </row>
    <row r="177" spans="3:19" hidden="1" x14ac:dyDescent="0.2">
      <c r="C177" s="4" t="s">
        <v>652</v>
      </c>
      <c r="D177" s="4" t="s">
        <v>664</v>
      </c>
      <c r="E177">
        <v>1970</v>
      </c>
      <c r="G177" s="4" t="s">
        <v>13</v>
      </c>
      <c r="H177">
        <v>1</v>
      </c>
      <c r="I177" t="s">
        <v>141</v>
      </c>
      <c r="J177" s="4" t="s">
        <v>25</v>
      </c>
      <c r="K177" s="4" t="s">
        <v>25</v>
      </c>
      <c r="N177" s="4" t="s">
        <v>13</v>
      </c>
      <c r="O177">
        <v>1</v>
      </c>
      <c r="Q177" s="4" t="s">
        <v>695</v>
      </c>
      <c r="R177">
        <v>200</v>
      </c>
    </row>
    <row r="178" spans="3:19" hidden="1" x14ac:dyDescent="0.2">
      <c r="C178" s="4" t="s">
        <v>652</v>
      </c>
      <c r="D178" s="4" t="s">
        <v>665</v>
      </c>
      <c r="E178">
        <v>1980</v>
      </c>
      <c r="G178" s="4" t="s">
        <v>13</v>
      </c>
      <c r="H178">
        <v>1</v>
      </c>
      <c r="I178" t="s">
        <v>141</v>
      </c>
      <c r="J178" s="4" t="s">
        <v>25</v>
      </c>
      <c r="K178" s="4" t="s">
        <v>25</v>
      </c>
      <c r="N178" s="4" t="s">
        <v>13</v>
      </c>
      <c r="O178">
        <v>1</v>
      </c>
      <c r="Q178" s="4" t="s">
        <v>695</v>
      </c>
      <c r="R178">
        <v>200</v>
      </c>
      <c r="S178">
        <v>100</v>
      </c>
    </row>
    <row r="179" spans="3:19" hidden="1" x14ac:dyDescent="0.2">
      <c r="C179" s="4" t="s">
        <v>652</v>
      </c>
      <c r="D179" s="4" t="s">
        <v>666</v>
      </c>
      <c r="E179">
        <v>1981</v>
      </c>
      <c r="G179" s="4" t="s">
        <v>13</v>
      </c>
      <c r="H179">
        <v>1</v>
      </c>
      <c r="I179" t="s">
        <v>141</v>
      </c>
      <c r="J179" s="4" t="s">
        <v>25</v>
      </c>
      <c r="K179" s="4" t="s">
        <v>25</v>
      </c>
      <c r="N179" s="4" t="s">
        <v>13</v>
      </c>
      <c r="O179">
        <v>1</v>
      </c>
      <c r="Q179" s="4" t="s">
        <v>695</v>
      </c>
      <c r="R179">
        <v>200</v>
      </c>
      <c r="S179">
        <v>100</v>
      </c>
    </row>
    <row r="180" spans="3:19" hidden="1" x14ac:dyDescent="0.2">
      <c r="C180" s="4" t="s">
        <v>652</v>
      </c>
      <c r="D180" s="4" t="s">
        <v>667</v>
      </c>
      <c r="E180">
        <v>1980</v>
      </c>
      <c r="G180" s="4" t="s">
        <v>13</v>
      </c>
      <c r="H180">
        <v>1</v>
      </c>
      <c r="I180" t="s">
        <v>141</v>
      </c>
      <c r="J180" s="4" t="s">
        <v>25</v>
      </c>
      <c r="K180" s="4" t="s">
        <v>25</v>
      </c>
      <c r="N180" s="4" t="s">
        <v>13</v>
      </c>
      <c r="O180">
        <v>1</v>
      </c>
      <c r="Q180" s="4" t="s">
        <v>695</v>
      </c>
      <c r="R180">
        <v>200</v>
      </c>
      <c r="S180">
        <v>100</v>
      </c>
    </row>
    <row r="181" spans="3:19" hidden="1" x14ac:dyDescent="0.2">
      <c r="C181" s="4" t="s">
        <v>652</v>
      </c>
      <c r="D181" s="4" t="s">
        <v>668</v>
      </c>
      <c r="E181">
        <v>1988</v>
      </c>
      <c r="G181" s="4" t="s">
        <v>13</v>
      </c>
      <c r="H181">
        <v>1</v>
      </c>
      <c r="I181" t="s">
        <v>141</v>
      </c>
      <c r="J181" s="4" t="s">
        <v>25</v>
      </c>
      <c r="K181" s="4" t="s">
        <v>25</v>
      </c>
      <c r="N181" s="4" t="s">
        <v>13</v>
      </c>
      <c r="O181">
        <v>1</v>
      </c>
      <c r="Q181" s="4" t="s">
        <v>695</v>
      </c>
      <c r="R181">
        <v>200</v>
      </c>
      <c r="S181">
        <v>100</v>
      </c>
    </row>
    <row r="182" spans="3:19" hidden="1" x14ac:dyDescent="0.2">
      <c r="C182" s="4" t="s">
        <v>652</v>
      </c>
      <c r="D182" s="4" t="s">
        <v>669</v>
      </c>
      <c r="E182">
        <v>1987</v>
      </c>
      <c r="G182" s="4" t="s">
        <v>13</v>
      </c>
      <c r="H182">
        <v>1</v>
      </c>
      <c r="I182" t="s">
        <v>141</v>
      </c>
      <c r="J182" s="4" t="s">
        <v>25</v>
      </c>
      <c r="K182" s="4" t="s">
        <v>25</v>
      </c>
      <c r="N182" s="4" t="s">
        <v>13</v>
      </c>
      <c r="O182">
        <v>1</v>
      </c>
      <c r="Q182" s="4" t="s">
        <v>695</v>
      </c>
      <c r="R182">
        <v>200</v>
      </c>
      <c r="S182">
        <v>100</v>
      </c>
    </row>
    <row r="183" spans="3:19" hidden="1" x14ac:dyDescent="0.2">
      <c r="C183" s="4" t="s">
        <v>652</v>
      </c>
      <c r="D183" s="4" t="s">
        <v>670</v>
      </c>
      <c r="E183">
        <v>1987</v>
      </c>
      <c r="G183" s="4" t="s">
        <v>13</v>
      </c>
      <c r="H183">
        <v>1</v>
      </c>
      <c r="I183" t="s">
        <v>141</v>
      </c>
      <c r="J183" s="4" t="s">
        <v>25</v>
      </c>
      <c r="K183" s="4" t="s">
        <v>25</v>
      </c>
      <c r="N183" s="4" t="s">
        <v>13</v>
      </c>
      <c r="O183">
        <v>1</v>
      </c>
      <c r="Q183" s="4" t="s">
        <v>695</v>
      </c>
      <c r="R183">
        <v>200</v>
      </c>
      <c r="S183">
        <v>100</v>
      </c>
    </row>
    <row r="184" spans="3:19" hidden="1" x14ac:dyDescent="0.2">
      <c r="C184" s="4" t="s">
        <v>652</v>
      </c>
      <c r="D184" s="4" t="s">
        <v>671</v>
      </c>
      <c r="E184">
        <v>1987</v>
      </c>
      <c r="G184" s="4" t="s">
        <v>13</v>
      </c>
      <c r="H184">
        <v>1</v>
      </c>
      <c r="I184" t="s">
        <v>141</v>
      </c>
      <c r="J184" s="4" t="s">
        <v>25</v>
      </c>
      <c r="K184" s="4" t="s">
        <v>25</v>
      </c>
      <c r="N184" s="4" t="s">
        <v>13</v>
      </c>
      <c r="O184">
        <v>1</v>
      </c>
      <c r="Q184" s="4" t="s">
        <v>695</v>
      </c>
      <c r="R184">
        <v>200</v>
      </c>
      <c r="S184">
        <v>100</v>
      </c>
    </row>
    <row r="185" spans="3:19" hidden="1" x14ac:dyDescent="0.2">
      <c r="C185" s="4" t="s">
        <v>652</v>
      </c>
      <c r="D185" s="4" t="s">
        <v>269</v>
      </c>
      <c r="E185">
        <v>1976</v>
      </c>
      <c r="G185" s="4" t="s">
        <v>13</v>
      </c>
      <c r="H185">
        <v>1</v>
      </c>
      <c r="I185" s="4" t="s">
        <v>15</v>
      </c>
      <c r="J185" s="4" t="s">
        <v>25</v>
      </c>
      <c r="K185" s="4" t="s">
        <v>25</v>
      </c>
      <c r="N185" s="4" t="s">
        <v>13</v>
      </c>
      <c r="O185">
        <v>1</v>
      </c>
      <c r="Q185" s="4" t="s">
        <v>696</v>
      </c>
      <c r="R185">
        <v>200</v>
      </c>
      <c r="S185">
        <v>100</v>
      </c>
    </row>
    <row r="186" spans="3:19" hidden="1" x14ac:dyDescent="0.2">
      <c r="C186" s="4" t="s">
        <v>652</v>
      </c>
      <c r="D186" s="4" t="s">
        <v>672</v>
      </c>
      <c r="E186">
        <v>1964</v>
      </c>
      <c r="G186" s="4" t="s">
        <v>13</v>
      </c>
      <c r="H186">
        <v>1</v>
      </c>
      <c r="I186" t="s">
        <v>141</v>
      </c>
      <c r="J186" s="4" t="s">
        <v>25</v>
      </c>
      <c r="K186" s="4" t="s">
        <v>25</v>
      </c>
      <c r="N186" s="4" t="s">
        <v>13</v>
      </c>
      <c r="O186">
        <v>1</v>
      </c>
      <c r="Q186" s="4" t="s">
        <v>696</v>
      </c>
      <c r="R186">
        <v>200</v>
      </c>
      <c r="S186">
        <v>100</v>
      </c>
    </row>
    <row r="187" spans="3:19" hidden="1" x14ac:dyDescent="0.2">
      <c r="C187" s="4" t="s">
        <v>652</v>
      </c>
      <c r="D187" s="4" t="s">
        <v>673</v>
      </c>
      <c r="E187">
        <v>1970</v>
      </c>
      <c r="G187" s="4" t="s">
        <v>13</v>
      </c>
      <c r="H187">
        <v>1</v>
      </c>
      <c r="I187" t="s">
        <v>141</v>
      </c>
      <c r="J187" s="4" t="s">
        <v>25</v>
      </c>
      <c r="K187" s="4" t="s">
        <v>25</v>
      </c>
      <c r="N187" s="4" t="s">
        <v>13</v>
      </c>
      <c r="O187">
        <v>1</v>
      </c>
      <c r="Q187" s="4" t="s">
        <v>696</v>
      </c>
      <c r="R187">
        <v>200</v>
      </c>
      <c r="S187">
        <v>100</v>
      </c>
    </row>
    <row r="188" spans="3:19" hidden="1" x14ac:dyDescent="0.2">
      <c r="C188" s="4" t="s">
        <v>652</v>
      </c>
      <c r="D188" s="4" t="s">
        <v>674</v>
      </c>
      <c r="E188">
        <v>1992</v>
      </c>
      <c r="F188">
        <v>8610369090</v>
      </c>
      <c r="G188" s="4" t="s">
        <v>579</v>
      </c>
      <c r="H188">
        <v>2</v>
      </c>
      <c r="I188" t="s">
        <v>141</v>
      </c>
      <c r="J188" s="4" t="s">
        <v>25</v>
      </c>
      <c r="K188" s="4" t="s">
        <v>25</v>
      </c>
      <c r="M188" s="4" t="s">
        <v>686</v>
      </c>
      <c r="N188" s="4" t="s">
        <v>13</v>
      </c>
      <c r="O188">
        <v>2</v>
      </c>
      <c r="Q188" s="4" t="s">
        <v>696</v>
      </c>
      <c r="R188">
        <v>400</v>
      </c>
      <c r="S188">
        <v>100</v>
      </c>
    </row>
    <row r="189" spans="3:19" hidden="1" x14ac:dyDescent="0.2">
      <c r="C189" s="4" t="s">
        <v>652</v>
      </c>
      <c r="D189" s="4" t="s">
        <v>675</v>
      </c>
      <c r="G189" s="4" t="s">
        <v>13</v>
      </c>
      <c r="H189">
        <v>1</v>
      </c>
      <c r="I189" t="s">
        <v>141</v>
      </c>
      <c r="J189" s="4" t="s">
        <v>25</v>
      </c>
      <c r="K189" s="4" t="s">
        <v>25</v>
      </c>
      <c r="M189" s="4" t="s">
        <v>59</v>
      </c>
      <c r="N189" s="4" t="s">
        <v>13</v>
      </c>
      <c r="O189">
        <v>1</v>
      </c>
      <c r="Q189" s="4" t="s">
        <v>697</v>
      </c>
      <c r="R189">
        <v>200</v>
      </c>
      <c r="S189">
        <v>100</v>
      </c>
    </row>
    <row r="190" spans="3:19" hidden="1" x14ac:dyDescent="0.2">
      <c r="C190" s="4" t="s">
        <v>652</v>
      </c>
      <c r="D190" s="4" t="s">
        <v>676</v>
      </c>
      <c r="E190">
        <v>1965</v>
      </c>
      <c r="F190">
        <v>9884197975</v>
      </c>
      <c r="G190" s="4" t="s">
        <v>13</v>
      </c>
      <c r="H190">
        <v>1</v>
      </c>
      <c r="I190" t="s">
        <v>141</v>
      </c>
      <c r="J190" s="4" t="s">
        <v>25</v>
      </c>
      <c r="K190" s="4" t="s">
        <v>25</v>
      </c>
      <c r="M190" s="4" t="s">
        <v>59</v>
      </c>
      <c r="N190" s="4" t="s">
        <v>13</v>
      </c>
      <c r="O190">
        <v>1</v>
      </c>
      <c r="Q190" s="4" t="s">
        <v>697</v>
      </c>
      <c r="R190">
        <v>200</v>
      </c>
      <c r="S190">
        <v>100</v>
      </c>
    </row>
    <row r="191" spans="3:19" hidden="1" x14ac:dyDescent="0.2">
      <c r="C191" s="4" t="s">
        <v>652</v>
      </c>
      <c r="D191" s="4" t="s">
        <v>677</v>
      </c>
      <c r="E191">
        <v>1964</v>
      </c>
      <c r="F191">
        <v>9962291947</v>
      </c>
      <c r="G191" s="4" t="s">
        <v>13</v>
      </c>
      <c r="H191">
        <v>1</v>
      </c>
      <c r="I191" t="s">
        <v>141</v>
      </c>
      <c r="J191" s="4" t="s">
        <v>25</v>
      </c>
      <c r="K191" s="4" t="s">
        <v>25</v>
      </c>
      <c r="M191" s="4" t="s">
        <v>59</v>
      </c>
      <c r="N191" s="4" t="s">
        <v>13</v>
      </c>
      <c r="O191">
        <v>1</v>
      </c>
      <c r="Q191" s="4" t="s">
        <v>697</v>
      </c>
      <c r="R191">
        <v>200</v>
      </c>
      <c r="S191">
        <v>100</v>
      </c>
    </row>
    <row r="192" spans="3:19" hidden="1" x14ac:dyDescent="0.2">
      <c r="C192" s="4" t="s">
        <v>652</v>
      </c>
      <c r="D192" s="4" t="s">
        <v>714</v>
      </c>
      <c r="E192">
        <v>1992</v>
      </c>
      <c r="G192" s="4" t="s">
        <v>13</v>
      </c>
      <c r="N192" s="4" t="s">
        <v>13</v>
      </c>
      <c r="O192">
        <v>1</v>
      </c>
      <c r="R192">
        <v>200</v>
      </c>
      <c r="S192">
        <v>100</v>
      </c>
    </row>
    <row r="193" spans="2:19" hidden="1" x14ac:dyDescent="0.2">
      <c r="C193" s="4" t="s">
        <v>652</v>
      </c>
      <c r="D193" s="4" t="s">
        <v>722</v>
      </c>
      <c r="E193">
        <v>1975</v>
      </c>
      <c r="G193" s="4" t="s">
        <v>13</v>
      </c>
      <c r="H193">
        <v>1</v>
      </c>
      <c r="I193" t="s">
        <v>141</v>
      </c>
      <c r="J193" t="s">
        <v>13</v>
      </c>
      <c r="K193" t="s">
        <v>13</v>
      </c>
      <c r="M193" t="s">
        <v>59</v>
      </c>
      <c r="N193" s="4" t="s">
        <v>13</v>
      </c>
      <c r="O193">
        <v>1</v>
      </c>
      <c r="R193">
        <v>200</v>
      </c>
      <c r="S193">
        <v>100</v>
      </c>
    </row>
    <row r="194" spans="2:19" hidden="1" x14ac:dyDescent="0.2">
      <c r="C194" s="4" t="s">
        <v>652</v>
      </c>
      <c r="D194" t="s">
        <v>527</v>
      </c>
      <c r="E194">
        <v>1961</v>
      </c>
      <c r="G194" s="4" t="s">
        <v>13</v>
      </c>
      <c r="H194">
        <v>1</v>
      </c>
      <c r="I194" t="s">
        <v>141</v>
      </c>
      <c r="J194" t="s">
        <v>13</v>
      </c>
      <c r="K194" t="s">
        <v>13</v>
      </c>
      <c r="N194" s="4" t="s">
        <v>13</v>
      </c>
      <c r="O194">
        <v>1</v>
      </c>
      <c r="R194">
        <v>200</v>
      </c>
      <c r="S194">
        <v>100</v>
      </c>
    </row>
    <row r="195" spans="2:19" hidden="1" x14ac:dyDescent="0.2">
      <c r="B195" s="7">
        <v>43050</v>
      </c>
      <c r="C195" s="4" t="s">
        <v>652</v>
      </c>
      <c r="D195" t="s">
        <v>727</v>
      </c>
      <c r="E195">
        <v>1985</v>
      </c>
      <c r="G195" s="4" t="s">
        <v>13</v>
      </c>
      <c r="H195">
        <v>1</v>
      </c>
      <c r="I195" t="s">
        <v>141</v>
      </c>
      <c r="J195" t="s">
        <v>13</v>
      </c>
      <c r="K195" t="s">
        <v>13</v>
      </c>
      <c r="N195" s="4" t="s">
        <v>13</v>
      </c>
      <c r="O195">
        <v>1</v>
      </c>
      <c r="R195">
        <v>200</v>
      </c>
      <c r="S195">
        <v>100</v>
      </c>
    </row>
    <row r="196" spans="2:19" hidden="1" x14ac:dyDescent="0.2">
      <c r="B196" s="7">
        <v>43050</v>
      </c>
      <c r="C196" s="4" t="s">
        <v>652</v>
      </c>
      <c r="D196" t="s">
        <v>728</v>
      </c>
      <c r="E196">
        <v>1985</v>
      </c>
      <c r="G196" s="4" t="s">
        <v>13</v>
      </c>
      <c r="H196">
        <v>1</v>
      </c>
      <c r="I196" t="s">
        <v>141</v>
      </c>
      <c r="J196" t="s">
        <v>13</v>
      </c>
      <c r="K196" t="s">
        <v>13</v>
      </c>
      <c r="N196" s="4" t="s">
        <v>13</v>
      </c>
      <c r="O196">
        <v>1</v>
      </c>
      <c r="R196">
        <v>200</v>
      </c>
      <c r="S196">
        <v>100</v>
      </c>
    </row>
    <row r="197" spans="2:19" hidden="1" x14ac:dyDescent="0.2">
      <c r="B197" s="7">
        <v>43050</v>
      </c>
      <c r="C197" s="4" t="s">
        <v>652</v>
      </c>
      <c r="D197" t="s">
        <v>709</v>
      </c>
      <c r="E197">
        <v>1985</v>
      </c>
      <c r="G197" s="4" t="s">
        <v>13</v>
      </c>
      <c r="H197">
        <v>1</v>
      </c>
      <c r="I197" t="s">
        <v>141</v>
      </c>
      <c r="J197" t="s">
        <v>13</v>
      </c>
      <c r="K197" t="s">
        <v>13</v>
      </c>
      <c r="N197" s="4" t="s">
        <v>13</v>
      </c>
      <c r="O197">
        <v>1</v>
      </c>
      <c r="R197">
        <v>200</v>
      </c>
      <c r="S197">
        <v>100</v>
      </c>
    </row>
    <row r="198" spans="2:19" hidden="1" x14ac:dyDescent="0.2">
      <c r="B198" s="7">
        <v>43050</v>
      </c>
      <c r="C198" s="4" t="s">
        <v>652</v>
      </c>
      <c r="D198" t="s">
        <v>729</v>
      </c>
      <c r="E198">
        <v>1985</v>
      </c>
      <c r="G198" s="4" t="s">
        <v>13</v>
      </c>
      <c r="H198">
        <v>1</v>
      </c>
      <c r="I198" t="s">
        <v>141</v>
      </c>
      <c r="J198" t="s">
        <v>13</v>
      </c>
      <c r="K198" t="s">
        <v>13</v>
      </c>
      <c r="N198" s="4" t="s">
        <v>13</v>
      </c>
      <c r="O198">
        <v>1</v>
      </c>
      <c r="R198">
        <v>200</v>
      </c>
      <c r="S198">
        <v>100</v>
      </c>
    </row>
    <row r="199" spans="2:19" hidden="1" x14ac:dyDescent="0.2">
      <c r="C199" s="4" t="s">
        <v>652</v>
      </c>
      <c r="D199" t="s">
        <v>731</v>
      </c>
      <c r="E199">
        <v>1972</v>
      </c>
      <c r="G199" s="4" t="s">
        <v>13</v>
      </c>
      <c r="H199">
        <v>2</v>
      </c>
      <c r="I199" t="s">
        <v>15</v>
      </c>
      <c r="J199" t="s">
        <v>13</v>
      </c>
      <c r="K199" t="s">
        <v>13</v>
      </c>
      <c r="N199" s="4" t="s">
        <v>13</v>
      </c>
      <c r="O199">
        <v>2</v>
      </c>
      <c r="R199">
        <v>400</v>
      </c>
      <c r="S199">
        <v>100</v>
      </c>
    </row>
    <row r="200" spans="2:19" hidden="1" x14ac:dyDescent="0.2">
      <c r="C200" s="4" t="s">
        <v>652</v>
      </c>
      <c r="D200" t="s">
        <v>732</v>
      </c>
      <c r="G200" s="4" t="s">
        <v>13</v>
      </c>
      <c r="H200">
        <v>1</v>
      </c>
      <c r="I200" t="s">
        <v>141</v>
      </c>
      <c r="J200" t="s">
        <v>25</v>
      </c>
      <c r="K200" t="s">
        <v>25</v>
      </c>
      <c r="N200" s="4" t="s">
        <v>13</v>
      </c>
      <c r="O200">
        <v>1</v>
      </c>
      <c r="R200">
        <v>200</v>
      </c>
      <c r="S200">
        <v>100</v>
      </c>
    </row>
    <row r="201" spans="2:19" hidden="1" x14ac:dyDescent="0.2">
      <c r="C201" s="4" t="s">
        <v>652</v>
      </c>
      <c r="D201" t="s">
        <v>733</v>
      </c>
      <c r="E201">
        <v>1973</v>
      </c>
      <c r="G201" s="4" t="s">
        <v>13</v>
      </c>
      <c r="H201">
        <v>1</v>
      </c>
      <c r="I201" t="s">
        <v>141</v>
      </c>
      <c r="J201" t="s">
        <v>25</v>
      </c>
      <c r="K201" t="s">
        <v>25</v>
      </c>
      <c r="N201" s="4" t="s">
        <v>13</v>
      </c>
      <c r="O201">
        <v>1</v>
      </c>
      <c r="R201">
        <v>200</v>
      </c>
      <c r="S201">
        <v>100</v>
      </c>
    </row>
    <row r="202" spans="2:19" hidden="1" x14ac:dyDescent="0.2">
      <c r="C202" s="4" t="s">
        <v>652</v>
      </c>
      <c r="D202" t="s">
        <v>734</v>
      </c>
      <c r="E202">
        <v>1973</v>
      </c>
      <c r="G202" s="4" t="s">
        <v>13</v>
      </c>
      <c r="H202">
        <v>1</v>
      </c>
      <c r="I202" t="s">
        <v>141</v>
      </c>
      <c r="J202" t="s">
        <v>25</v>
      </c>
      <c r="K202" t="s">
        <v>25</v>
      </c>
      <c r="N202" s="4" t="s">
        <v>13</v>
      </c>
      <c r="O202">
        <v>1</v>
      </c>
      <c r="R202">
        <v>200</v>
      </c>
      <c r="S202">
        <v>100</v>
      </c>
    </row>
    <row r="203" spans="2:19" hidden="1" x14ac:dyDescent="0.2">
      <c r="C203" s="4" t="s">
        <v>652</v>
      </c>
      <c r="D203" t="s">
        <v>736</v>
      </c>
      <c r="E203">
        <v>1965</v>
      </c>
      <c r="G203" s="4" t="s">
        <v>13</v>
      </c>
      <c r="J203" t="s">
        <v>25</v>
      </c>
      <c r="K203" t="s">
        <v>25</v>
      </c>
      <c r="N203" s="4" t="s">
        <v>13</v>
      </c>
      <c r="O203">
        <v>1</v>
      </c>
      <c r="R203">
        <v>200</v>
      </c>
      <c r="S203">
        <v>100</v>
      </c>
    </row>
    <row r="204" spans="2:19" hidden="1" x14ac:dyDescent="0.2">
      <c r="C204" s="4" t="s">
        <v>652</v>
      </c>
      <c r="D204" t="s">
        <v>737</v>
      </c>
      <c r="E204">
        <v>1973</v>
      </c>
      <c r="G204" s="4" t="s">
        <v>13</v>
      </c>
      <c r="H204">
        <v>1</v>
      </c>
      <c r="I204" t="s">
        <v>141</v>
      </c>
      <c r="J204" t="s">
        <v>25</v>
      </c>
      <c r="K204" t="s">
        <v>25</v>
      </c>
      <c r="N204" s="4" t="s">
        <v>13</v>
      </c>
      <c r="O204">
        <v>1</v>
      </c>
      <c r="R204">
        <v>200</v>
      </c>
      <c r="S204">
        <v>100</v>
      </c>
    </row>
    <row r="205" spans="2:19" hidden="1" x14ac:dyDescent="0.2">
      <c r="B205" t="s">
        <v>738</v>
      </c>
      <c r="C205" s="4" t="s">
        <v>652</v>
      </c>
      <c r="D205" t="s">
        <v>740</v>
      </c>
      <c r="E205">
        <v>1982</v>
      </c>
      <c r="F205">
        <v>9884484322</v>
      </c>
      <c r="G205" s="4" t="s">
        <v>13</v>
      </c>
      <c r="H205">
        <v>1</v>
      </c>
      <c r="I205" t="s">
        <v>141</v>
      </c>
      <c r="J205" t="s">
        <v>25</v>
      </c>
      <c r="K205" t="s">
        <v>25</v>
      </c>
      <c r="N205" s="4" t="s">
        <v>13</v>
      </c>
      <c r="O205">
        <v>1</v>
      </c>
      <c r="R205">
        <v>200</v>
      </c>
      <c r="S205">
        <v>100</v>
      </c>
    </row>
    <row r="206" spans="2:19" hidden="1" x14ac:dyDescent="0.2">
      <c r="B206" t="s">
        <v>738</v>
      </c>
      <c r="C206" s="4" t="s">
        <v>652</v>
      </c>
      <c r="D206" t="s">
        <v>741</v>
      </c>
      <c r="E206">
        <v>1975</v>
      </c>
      <c r="F206">
        <v>7708410382</v>
      </c>
      <c r="G206" s="4" t="s">
        <v>13</v>
      </c>
      <c r="H206">
        <v>1</v>
      </c>
      <c r="I206" t="s">
        <v>141</v>
      </c>
      <c r="J206" t="s">
        <v>25</v>
      </c>
      <c r="K206" t="s">
        <v>25</v>
      </c>
      <c r="N206" s="4" t="s">
        <v>13</v>
      </c>
      <c r="O206">
        <v>1</v>
      </c>
      <c r="R206">
        <v>200</v>
      </c>
      <c r="S206">
        <v>100</v>
      </c>
    </row>
    <row r="207" spans="2:19" x14ac:dyDescent="0.2">
      <c r="B207" t="s">
        <v>738</v>
      </c>
      <c r="C207" s="4" t="s">
        <v>652</v>
      </c>
      <c r="D207" t="s">
        <v>742</v>
      </c>
      <c r="E207">
        <v>1993</v>
      </c>
      <c r="F207">
        <v>9739528001</v>
      </c>
      <c r="G207" s="4" t="s">
        <v>13</v>
      </c>
      <c r="H207">
        <v>1</v>
      </c>
      <c r="I207" t="s">
        <v>15</v>
      </c>
      <c r="J207" t="s">
        <v>13</v>
      </c>
      <c r="K207" t="s">
        <v>25</v>
      </c>
      <c r="N207" s="4" t="s">
        <v>13</v>
      </c>
      <c r="O207">
        <v>1</v>
      </c>
      <c r="R207">
        <v>200</v>
      </c>
      <c r="S207">
        <v>100</v>
      </c>
    </row>
    <row r="208" spans="2:19" hidden="1" x14ac:dyDescent="0.2">
      <c r="B208" t="s">
        <v>738</v>
      </c>
      <c r="C208" s="4" t="s">
        <v>652</v>
      </c>
      <c r="D208" t="s">
        <v>743</v>
      </c>
      <c r="E208">
        <v>1966</v>
      </c>
      <c r="F208">
        <v>9940510642</v>
      </c>
      <c r="G208" s="4" t="s">
        <v>13</v>
      </c>
      <c r="H208">
        <v>1</v>
      </c>
      <c r="I208" t="s">
        <v>141</v>
      </c>
      <c r="J208" t="s">
        <v>25</v>
      </c>
      <c r="K208" t="s">
        <v>25</v>
      </c>
      <c r="N208" s="4" t="s">
        <v>13</v>
      </c>
      <c r="O208">
        <v>1</v>
      </c>
      <c r="R208">
        <v>200</v>
      </c>
      <c r="S208">
        <v>100</v>
      </c>
    </row>
    <row r="209" spans="2:19" hidden="1" x14ac:dyDescent="0.2">
      <c r="B209" t="s">
        <v>738</v>
      </c>
      <c r="C209" s="4" t="s">
        <v>652</v>
      </c>
      <c r="D209" t="s">
        <v>744</v>
      </c>
      <c r="E209">
        <v>1978</v>
      </c>
      <c r="F209">
        <v>9841064619</v>
      </c>
      <c r="G209" s="4" t="s">
        <v>13</v>
      </c>
      <c r="H209">
        <v>1</v>
      </c>
      <c r="I209" t="s">
        <v>141</v>
      </c>
      <c r="J209" t="s">
        <v>25</v>
      </c>
      <c r="K209" t="s">
        <v>25</v>
      </c>
      <c r="N209" s="4" t="s">
        <v>13</v>
      </c>
      <c r="O209">
        <v>1</v>
      </c>
      <c r="R209">
        <v>200</v>
      </c>
      <c r="S209">
        <v>100</v>
      </c>
    </row>
    <row r="210" spans="2:19" hidden="1" x14ac:dyDescent="0.2">
      <c r="B210" t="s">
        <v>738</v>
      </c>
      <c r="C210" s="4" t="s">
        <v>652</v>
      </c>
      <c r="D210" t="s">
        <v>745</v>
      </c>
      <c r="E210">
        <v>1984</v>
      </c>
      <c r="F210">
        <v>9442119193</v>
      </c>
      <c r="G210" s="4" t="s">
        <v>13</v>
      </c>
      <c r="H210">
        <v>1</v>
      </c>
      <c r="I210" t="s">
        <v>141</v>
      </c>
      <c r="J210" t="s">
        <v>25</v>
      </c>
      <c r="K210" t="s">
        <v>25</v>
      </c>
      <c r="N210" s="4" t="s">
        <v>13</v>
      </c>
      <c r="O210">
        <v>1</v>
      </c>
      <c r="R210">
        <v>200</v>
      </c>
      <c r="S210">
        <v>100</v>
      </c>
    </row>
    <row r="211" spans="2:19" hidden="1" x14ac:dyDescent="0.2">
      <c r="B211" t="s">
        <v>738</v>
      </c>
      <c r="C211" s="4" t="s">
        <v>652</v>
      </c>
      <c r="D211" t="s">
        <v>746</v>
      </c>
      <c r="E211">
        <v>1995</v>
      </c>
      <c r="G211" s="4" t="s">
        <v>13</v>
      </c>
      <c r="H211">
        <v>1</v>
      </c>
      <c r="I211" t="s">
        <v>141</v>
      </c>
      <c r="J211" t="s">
        <v>25</v>
      </c>
      <c r="K211" t="s">
        <v>25</v>
      </c>
      <c r="N211" s="4" t="s">
        <v>13</v>
      </c>
      <c r="O211">
        <v>1</v>
      </c>
      <c r="R211">
        <v>200</v>
      </c>
      <c r="S211">
        <v>100</v>
      </c>
    </row>
    <row r="212" spans="2:19" hidden="1" x14ac:dyDescent="0.2">
      <c r="B212" t="s">
        <v>738</v>
      </c>
      <c r="C212" s="4" t="s">
        <v>652</v>
      </c>
      <c r="D212" t="s">
        <v>747</v>
      </c>
      <c r="E212">
        <v>1966</v>
      </c>
      <c r="G212" s="4" t="s">
        <v>13</v>
      </c>
      <c r="H212">
        <v>1</v>
      </c>
      <c r="I212" t="s">
        <v>141</v>
      </c>
      <c r="J212" t="s">
        <v>25</v>
      </c>
      <c r="K212" t="s">
        <v>25</v>
      </c>
      <c r="N212" s="4" t="s">
        <v>13</v>
      </c>
      <c r="O212">
        <v>1</v>
      </c>
      <c r="R212">
        <v>200</v>
      </c>
      <c r="S212">
        <v>100</v>
      </c>
    </row>
    <row r="213" spans="2:19" hidden="1" x14ac:dyDescent="0.2">
      <c r="B213" t="s">
        <v>738</v>
      </c>
      <c r="C213" s="4" t="s">
        <v>652</v>
      </c>
      <c r="D213" t="s">
        <v>748</v>
      </c>
      <c r="E213">
        <v>1967</v>
      </c>
      <c r="F213">
        <v>9840083595</v>
      </c>
      <c r="G213" s="4" t="s">
        <v>13</v>
      </c>
      <c r="H213">
        <v>1</v>
      </c>
      <c r="I213" t="s">
        <v>141</v>
      </c>
      <c r="J213" t="s">
        <v>25</v>
      </c>
      <c r="K213" t="s">
        <v>25</v>
      </c>
      <c r="N213" s="4" t="s">
        <v>13</v>
      </c>
      <c r="O213">
        <v>1</v>
      </c>
      <c r="R213">
        <v>200</v>
      </c>
      <c r="S213">
        <v>100</v>
      </c>
    </row>
    <row r="214" spans="2:19" hidden="1" x14ac:dyDescent="0.2">
      <c r="B214" t="s">
        <v>738</v>
      </c>
      <c r="C214" s="4" t="s">
        <v>652</v>
      </c>
      <c r="D214" t="s">
        <v>749</v>
      </c>
      <c r="E214">
        <v>1973</v>
      </c>
      <c r="F214">
        <v>9884245993</v>
      </c>
      <c r="G214" s="4" t="s">
        <v>13</v>
      </c>
      <c r="H214">
        <v>1</v>
      </c>
      <c r="I214" t="s">
        <v>141</v>
      </c>
      <c r="J214" t="s">
        <v>25</v>
      </c>
      <c r="K214" t="s">
        <v>25</v>
      </c>
      <c r="N214" s="4" t="s">
        <v>13</v>
      </c>
      <c r="O214">
        <v>1</v>
      </c>
      <c r="R214">
        <v>200</v>
      </c>
      <c r="S214">
        <v>100</v>
      </c>
    </row>
    <row r="215" spans="2:19" hidden="1" x14ac:dyDescent="0.2">
      <c r="B215" t="s">
        <v>738</v>
      </c>
      <c r="C215" s="4" t="s">
        <v>652</v>
      </c>
      <c r="D215" t="s">
        <v>750</v>
      </c>
      <c r="E215">
        <v>1979</v>
      </c>
      <c r="F215">
        <v>9840682712</v>
      </c>
      <c r="G215" s="4" t="s">
        <v>13</v>
      </c>
      <c r="H215">
        <v>2</v>
      </c>
      <c r="I215" t="s">
        <v>756</v>
      </c>
      <c r="J215" t="s">
        <v>25</v>
      </c>
      <c r="K215" t="s">
        <v>25</v>
      </c>
      <c r="N215" s="4" t="s">
        <v>13</v>
      </c>
      <c r="O215">
        <v>2</v>
      </c>
      <c r="R215">
        <v>400</v>
      </c>
      <c r="S215">
        <v>100</v>
      </c>
    </row>
    <row r="216" spans="2:19" hidden="1" x14ac:dyDescent="0.2">
      <c r="B216" t="s">
        <v>738</v>
      </c>
      <c r="C216" s="4" t="s">
        <v>652</v>
      </c>
      <c r="D216" t="s">
        <v>751</v>
      </c>
      <c r="E216">
        <v>1988</v>
      </c>
      <c r="F216">
        <v>9884078687</v>
      </c>
      <c r="G216" s="4" t="s">
        <v>13</v>
      </c>
      <c r="H216">
        <v>1</v>
      </c>
      <c r="I216" t="s">
        <v>141</v>
      </c>
      <c r="J216" t="s">
        <v>25</v>
      </c>
      <c r="K216" t="s">
        <v>25</v>
      </c>
      <c r="N216" s="4" t="s">
        <v>13</v>
      </c>
      <c r="O216">
        <v>1</v>
      </c>
      <c r="R216">
        <v>200</v>
      </c>
      <c r="S216">
        <v>100</v>
      </c>
    </row>
    <row r="217" spans="2:19" hidden="1" x14ac:dyDescent="0.2">
      <c r="B217" t="s">
        <v>738</v>
      </c>
      <c r="C217" s="4" t="s">
        <v>652</v>
      </c>
      <c r="D217" t="s">
        <v>752</v>
      </c>
      <c r="E217">
        <v>1984</v>
      </c>
      <c r="F217">
        <v>9884078601</v>
      </c>
      <c r="G217" s="4" t="s">
        <v>13</v>
      </c>
      <c r="H217">
        <v>1</v>
      </c>
      <c r="I217" t="s">
        <v>141</v>
      </c>
      <c r="J217" t="s">
        <v>25</v>
      </c>
      <c r="K217" t="s">
        <v>25</v>
      </c>
      <c r="N217" s="4" t="s">
        <v>13</v>
      </c>
      <c r="O217">
        <v>1</v>
      </c>
      <c r="R217">
        <v>200</v>
      </c>
      <c r="S217">
        <v>100</v>
      </c>
    </row>
    <row r="218" spans="2:19" hidden="1" x14ac:dyDescent="0.2">
      <c r="B218" t="s">
        <v>738</v>
      </c>
      <c r="C218" s="4" t="s">
        <v>652</v>
      </c>
      <c r="D218" t="s">
        <v>753</v>
      </c>
      <c r="E218">
        <v>1974</v>
      </c>
      <c r="F218">
        <v>9444010787</v>
      </c>
      <c r="G218" s="4" t="s">
        <v>13</v>
      </c>
      <c r="H218">
        <v>1</v>
      </c>
      <c r="I218" t="s">
        <v>141</v>
      </c>
      <c r="J218" t="s">
        <v>25</v>
      </c>
      <c r="K218" t="s">
        <v>25</v>
      </c>
      <c r="N218" s="4" t="s">
        <v>13</v>
      </c>
      <c r="O218">
        <v>1</v>
      </c>
      <c r="R218">
        <v>200</v>
      </c>
      <c r="S218">
        <v>100</v>
      </c>
    </row>
    <row r="219" spans="2:19" hidden="1" x14ac:dyDescent="0.2">
      <c r="B219" t="s">
        <v>738</v>
      </c>
      <c r="C219" s="4" t="s">
        <v>652</v>
      </c>
      <c r="D219" t="s">
        <v>754</v>
      </c>
      <c r="E219">
        <v>1988</v>
      </c>
      <c r="F219">
        <v>9962565384</v>
      </c>
      <c r="G219" s="4" t="s">
        <v>13</v>
      </c>
      <c r="H219">
        <v>2</v>
      </c>
      <c r="I219" t="s">
        <v>141</v>
      </c>
      <c r="J219" t="s">
        <v>25</v>
      </c>
      <c r="K219" t="s">
        <v>25</v>
      </c>
      <c r="N219" t="s">
        <v>13</v>
      </c>
      <c r="O219">
        <v>2</v>
      </c>
      <c r="R219">
        <v>400</v>
      </c>
      <c r="S219">
        <v>100</v>
      </c>
    </row>
    <row r="220" spans="2:19" hidden="1" x14ac:dyDescent="0.2">
      <c r="B220" t="s">
        <v>738</v>
      </c>
      <c r="C220" s="4" t="s">
        <v>652</v>
      </c>
      <c r="D220" t="s">
        <v>755</v>
      </c>
      <c r="E220">
        <v>1988</v>
      </c>
      <c r="F220">
        <v>9791030372</v>
      </c>
      <c r="G220" s="4" t="s">
        <v>13</v>
      </c>
      <c r="H220">
        <v>2</v>
      </c>
      <c r="I220" t="s">
        <v>141</v>
      </c>
      <c r="J220" t="s">
        <v>25</v>
      </c>
      <c r="K220" t="s">
        <v>25</v>
      </c>
      <c r="N220" t="s">
        <v>13</v>
      </c>
      <c r="O220">
        <v>2</v>
      </c>
      <c r="P220">
        <v>1</v>
      </c>
      <c r="R220">
        <v>600</v>
      </c>
      <c r="S220">
        <v>100</v>
      </c>
    </row>
    <row r="221" spans="2:19" hidden="1" x14ac:dyDescent="0.2">
      <c r="B221" t="s">
        <v>738</v>
      </c>
      <c r="C221" s="4" t="s">
        <v>652</v>
      </c>
      <c r="D221" t="s">
        <v>563</v>
      </c>
      <c r="E221">
        <v>1995</v>
      </c>
      <c r="F221">
        <v>9092599733</v>
      </c>
      <c r="G221" s="4" t="s">
        <v>13</v>
      </c>
      <c r="H221">
        <v>1</v>
      </c>
      <c r="I221" t="s">
        <v>141</v>
      </c>
      <c r="J221" t="s">
        <v>25</v>
      </c>
      <c r="K221" t="s">
        <v>25</v>
      </c>
      <c r="N221" t="s">
        <v>13</v>
      </c>
      <c r="O221">
        <v>1</v>
      </c>
      <c r="R221">
        <v>200</v>
      </c>
      <c r="S221">
        <v>100</v>
      </c>
    </row>
    <row r="222" spans="2:19" hidden="1" x14ac:dyDescent="0.2">
      <c r="B222" t="s">
        <v>738</v>
      </c>
      <c r="C222" s="4" t="s">
        <v>652</v>
      </c>
      <c r="D222" t="s">
        <v>757</v>
      </c>
      <c r="E222">
        <v>1995</v>
      </c>
      <c r="F222">
        <v>9543055521</v>
      </c>
      <c r="G222" s="4" t="s">
        <v>13</v>
      </c>
      <c r="H222">
        <v>2</v>
      </c>
      <c r="I222" t="s">
        <v>141</v>
      </c>
      <c r="J222" t="s">
        <v>25</v>
      </c>
      <c r="K222" t="s">
        <v>25</v>
      </c>
      <c r="N222" t="s">
        <v>13</v>
      </c>
      <c r="O222">
        <v>3</v>
      </c>
      <c r="R222">
        <v>900</v>
      </c>
      <c r="S222">
        <v>100</v>
      </c>
    </row>
    <row r="223" spans="2:19" hidden="1" x14ac:dyDescent="0.2">
      <c r="B223" t="s">
        <v>738</v>
      </c>
      <c r="C223" s="4" t="s">
        <v>652</v>
      </c>
      <c r="D223" t="s">
        <v>758</v>
      </c>
      <c r="E223">
        <v>1997</v>
      </c>
      <c r="F223">
        <v>9789894197</v>
      </c>
      <c r="G223" t="s">
        <v>13</v>
      </c>
      <c r="H223">
        <v>1</v>
      </c>
      <c r="I223" t="s">
        <v>141</v>
      </c>
      <c r="J223" t="s">
        <v>25</v>
      </c>
      <c r="K223" t="s">
        <v>25</v>
      </c>
      <c r="N223" t="s">
        <v>13</v>
      </c>
      <c r="O223">
        <v>1</v>
      </c>
      <c r="R223">
        <v>200</v>
      </c>
      <c r="S223">
        <v>100</v>
      </c>
    </row>
    <row r="224" spans="2:19" hidden="1" x14ac:dyDescent="0.2">
      <c r="B224" t="s">
        <v>697</v>
      </c>
      <c r="C224" s="4" t="s">
        <v>652</v>
      </c>
      <c r="D224" t="s">
        <v>759</v>
      </c>
      <c r="E224">
        <v>1966</v>
      </c>
      <c r="F224">
        <v>9884823063</v>
      </c>
      <c r="G224" t="s">
        <v>13</v>
      </c>
      <c r="H224">
        <v>1</v>
      </c>
      <c r="I224" t="s">
        <v>141</v>
      </c>
      <c r="J224" t="s">
        <v>25</v>
      </c>
      <c r="K224" t="s">
        <v>25</v>
      </c>
      <c r="N224" t="s">
        <v>13</v>
      </c>
      <c r="O224">
        <v>1</v>
      </c>
      <c r="R224">
        <v>200</v>
      </c>
      <c r="S224">
        <v>100</v>
      </c>
    </row>
    <row r="225" spans="2:19" hidden="1" x14ac:dyDescent="0.2">
      <c r="B225" t="s">
        <v>697</v>
      </c>
      <c r="C225" s="4" t="s">
        <v>652</v>
      </c>
      <c r="D225" t="s">
        <v>760</v>
      </c>
      <c r="E225">
        <v>1966</v>
      </c>
      <c r="F225">
        <v>9962803017</v>
      </c>
      <c r="G225" t="s">
        <v>13</v>
      </c>
      <c r="H225">
        <v>1</v>
      </c>
      <c r="I225" t="s">
        <v>141</v>
      </c>
      <c r="J225" t="s">
        <v>25</v>
      </c>
      <c r="K225" t="s">
        <v>25</v>
      </c>
      <c r="N225" t="s">
        <v>13</v>
      </c>
      <c r="O225">
        <v>1</v>
      </c>
      <c r="R225">
        <v>200</v>
      </c>
      <c r="S225">
        <v>100</v>
      </c>
    </row>
    <row r="226" spans="2:19" hidden="1" x14ac:dyDescent="0.2">
      <c r="B226" t="s">
        <v>697</v>
      </c>
      <c r="C226" s="4" t="s">
        <v>652</v>
      </c>
      <c r="D226" t="s">
        <v>761</v>
      </c>
      <c r="E226">
        <v>1966</v>
      </c>
      <c r="F226">
        <v>9841146424</v>
      </c>
      <c r="G226" t="s">
        <v>13</v>
      </c>
      <c r="H226">
        <v>1</v>
      </c>
      <c r="I226" t="s">
        <v>141</v>
      </c>
      <c r="J226" t="s">
        <v>25</v>
      </c>
      <c r="K226" t="s">
        <v>25</v>
      </c>
      <c r="N226" t="s">
        <v>13</v>
      </c>
      <c r="O226">
        <v>1</v>
      </c>
      <c r="R226">
        <v>200</v>
      </c>
      <c r="S226">
        <v>100</v>
      </c>
    </row>
    <row r="227" spans="2:19" hidden="1" x14ac:dyDescent="0.2">
      <c r="B227" t="s">
        <v>697</v>
      </c>
      <c r="C227" s="4" t="s">
        <v>652</v>
      </c>
      <c r="D227" t="s">
        <v>762</v>
      </c>
      <c r="E227">
        <v>1992</v>
      </c>
      <c r="F227">
        <v>9840486555</v>
      </c>
      <c r="G227" t="s">
        <v>13</v>
      </c>
      <c r="H227">
        <v>1</v>
      </c>
      <c r="I227" t="s">
        <v>141</v>
      </c>
      <c r="J227" t="s">
        <v>25</v>
      </c>
      <c r="K227" t="s">
        <v>25</v>
      </c>
      <c r="N227" t="s">
        <v>13</v>
      </c>
      <c r="O227">
        <v>1</v>
      </c>
      <c r="R227">
        <v>200</v>
      </c>
      <c r="S227">
        <v>100</v>
      </c>
    </row>
  </sheetData>
  <autoFilter ref="A1:T227">
    <filterColumn colId="9">
      <filters>
        <filter val="Yes"/>
      </filters>
    </filterColumn>
    <filterColumn colId="10">
      <filters>
        <filter val="No"/>
      </filters>
    </filterColumn>
  </autoFilter>
  <hyperlinks>
    <hyperlink ref="L166" r:id="rId1"/>
    <hyperlink ref="L169" r:id="rId2"/>
  </hyperlinks>
  <pageMargins left="0.7" right="0.7" top="0.75" bottom="0.75" header="0.3" footer="0.3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192"/>
  <sheetViews>
    <sheetView tabSelected="1" showWhiteSpace="0" workbookViewId="0">
      <pane xSplit="5" ySplit="1" topLeftCell="F33" activePane="bottomRight" state="frozen"/>
      <selection pane="topRight" activeCell="F1" sqref="F1"/>
      <selection pane="bottomLeft" activeCell="A2" sqref="A2"/>
      <selection pane="bottomRight" activeCell="D33" sqref="D33"/>
    </sheetView>
  </sheetViews>
  <sheetFormatPr defaultRowHeight="14.25" x14ac:dyDescent="0.3"/>
  <cols>
    <col min="2" max="2" width="18.140625" hidden="1" customWidth="1"/>
    <col min="3" max="3" width="14.85546875" bestFit="1" customWidth="1"/>
    <col min="4" max="4" width="22.42578125" customWidth="1"/>
    <col min="6" max="6" width="17.7109375" customWidth="1"/>
    <col min="7" max="11" width="9.140625" customWidth="1"/>
    <col min="12" max="12" width="34.28515625" customWidth="1"/>
    <col min="13" max="13" width="32.140625" customWidth="1"/>
    <col min="14" max="14" width="9.140625" customWidth="1"/>
    <col min="15" max="16" width="9.140625" hidden="1" customWidth="1"/>
    <col min="17" max="17" width="10.140625" hidden="1" customWidth="1"/>
    <col min="18" max="19" width="9.140625" customWidth="1"/>
    <col min="20" max="20" width="21.85546875" customWidth="1"/>
    <col min="21" max="21" width="62" hidden="1" customWidth="1"/>
    <col min="22" max="22" width="9.140625" style="11" hidden="1" customWidth="1"/>
    <col min="23" max="23" width="9.140625" hidden="1" customWidth="1"/>
  </cols>
  <sheetData>
    <row r="1" spans="1:24" ht="12.75" x14ac:dyDescent="0.2">
      <c r="A1" t="s">
        <v>649</v>
      </c>
      <c r="B1" t="s">
        <v>0</v>
      </c>
      <c r="C1" t="s">
        <v>650</v>
      </c>
      <c r="D1" s="3" t="s">
        <v>1</v>
      </c>
      <c r="E1" s="3" t="s">
        <v>2</v>
      </c>
      <c r="F1" s="3" t="s">
        <v>3</v>
      </c>
      <c r="G1" t="s">
        <v>4</v>
      </c>
      <c r="H1" s="3" t="s">
        <v>5</v>
      </c>
      <c r="I1" s="3" t="s">
        <v>6</v>
      </c>
      <c r="J1" t="s">
        <v>7</v>
      </c>
      <c r="K1" t="s">
        <v>8</v>
      </c>
      <c r="L1" s="3" t="s">
        <v>9</v>
      </c>
      <c r="M1" s="3" t="s">
        <v>10</v>
      </c>
      <c r="N1" s="4" t="s">
        <v>687</v>
      </c>
      <c r="O1" s="4" t="s">
        <v>688</v>
      </c>
      <c r="P1" s="4" t="s">
        <v>689</v>
      </c>
      <c r="Q1" s="4" t="s">
        <v>690</v>
      </c>
      <c r="R1" s="4" t="s">
        <v>691</v>
      </c>
      <c r="S1" s="4" t="s">
        <v>692</v>
      </c>
      <c r="T1" s="4" t="s">
        <v>763</v>
      </c>
      <c r="U1" s="8" t="s">
        <v>764</v>
      </c>
      <c r="V1" s="8" t="s">
        <v>767</v>
      </c>
      <c r="X1" t="s">
        <v>795</v>
      </c>
    </row>
    <row r="2" spans="1:24" hidden="1" x14ac:dyDescent="0.3">
      <c r="A2">
        <v>179927</v>
      </c>
      <c r="B2" s="2">
        <v>43048.93191028935</v>
      </c>
      <c r="C2" s="2" t="s">
        <v>651</v>
      </c>
      <c r="D2" s="3" t="s">
        <v>241</v>
      </c>
      <c r="E2" s="3">
        <v>1954</v>
      </c>
      <c r="F2" s="3">
        <v>9841150575</v>
      </c>
      <c r="G2" s="3" t="s">
        <v>13</v>
      </c>
      <c r="H2" s="3" t="s">
        <v>40</v>
      </c>
      <c r="I2" s="3" t="s">
        <v>141</v>
      </c>
      <c r="J2" s="3" t="s">
        <v>13</v>
      </c>
      <c r="K2" s="3" t="s">
        <v>13</v>
      </c>
      <c r="L2" s="3" t="s">
        <v>237</v>
      </c>
      <c r="M2" s="3" t="s">
        <v>17</v>
      </c>
      <c r="N2" s="3" t="s">
        <v>13</v>
      </c>
      <c r="O2">
        <v>1</v>
      </c>
      <c r="R2">
        <v>200</v>
      </c>
      <c r="S2">
        <v>100</v>
      </c>
      <c r="U2" t="str">
        <f t="shared" ref="U2:U33" si="0">CONCATENATE(D2," ","Your Unique Reference#"," ",A2," ","Registration confirmed")</f>
        <v>Dr. T. V. George Your Unique Reference# 179927 Registration confirmed</v>
      </c>
      <c r="V2" s="11" t="s">
        <v>766</v>
      </c>
      <c r="X2" t="s">
        <v>13</v>
      </c>
    </row>
    <row r="3" spans="1:24" hidden="1" x14ac:dyDescent="0.3">
      <c r="C3" s="4" t="s">
        <v>652</v>
      </c>
      <c r="D3" s="12" t="s">
        <v>776</v>
      </c>
      <c r="E3" s="12">
        <v>1958</v>
      </c>
      <c r="F3" s="12">
        <v>9042932102</v>
      </c>
      <c r="G3" s="4" t="s">
        <v>13</v>
      </c>
      <c r="H3">
        <v>1</v>
      </c>
      <c r="I3" s="4" t="s">
        <v>141</v>
      </c>
      <c r="J3" s="4" t="s">
        <v>25</v>
      </c>
      <c r="K3" s="4" t="s">
        <v>25</v>
      </c>
      <c r="N3" s="4" t="s">
        <v>13</v>
      </c>
      <c r="O3">
        <v>1</v>
      </c>
      <c r="Q3" s="7">
        <v>43065</v>
      </c>
      <c r="R3">
        <v>200</v>
      </c>
      <c r="S3">
        <v>100</v>
      </c>
      <c r="U3" t="str">
        <f t="shared" si="0"/>
        <v>mrs Merlyn Thompson Your Unique Reference#  Registration confirmed</v>
      </c>
    </row>
    <row r="4" spans="1:24" hidden="1" x14ac:dyDescent="0.3">
      <c r="A4">
        <v>131512</v>
      </c>
      <c r="C4" s="4" t="s">
        <v>652</v>
      </c>
      <c r="D4" t="s">
        <v>527</v>
      </c>
      <c r="E4">
        <v>1961</v>
      </c>
      <c r="G4" s="4" t="s">
        <v>13</v>
      </c>
      <c r="H4">
        <v>1</v>
      </c>
      <c r="I4" t="s">
        <v>141</v>
      </c>
      <c r="J4" t="s">
        <v>13</v>
      </c>
      <c r="K4" t="s">
        <v>13</v>
      </c>
      <c r="N4" s="4" t="s">
        <v>13</v>
      </c>
      <c r="O4">
        <v>1</v>
      </c>
      <c r="R4">
        <v>200</v>
      </c>
      <c r="S4">
        <v>100</v>
      </c>
      <c r="U4" t="str">
        <f t="shared" si="0"/>
        <v>Mohan Narvekar Your Unique Reference# 131512 Registration confirmed</v>
      </c>
      <c r="X4" t="s">
        <v>13</v>
      </c>
    </row>
    <row r="5" spans="1:24" hidden="1" x14ac:dyDescent="0.3">
      <c r="A5">
        <v>121087</v>
      </c>
      <c r="B5" s="2">
        <v>43061.479730162042</v>
      </c>
      <c r="C5" s="2" t="s">
        <v>651</v>
      </c>
      <c r="D5" s="3" t="s">
        <v>527</v>
      </c>
      <c r="E5" s="3">
        <v>1961</v>
      </c>
      <c r="F5" s="3">
        <v>9444391505</v>
      </c>
      <c r="G5" s="3" t="s">
        <v>13</v>
      </c>
      <c r="H5" s="3" t="s">
        <v>101</v>
      </c>
      <c r="I5" s="3" t="s">
        <v>41</v>
      </c>
      <c r="J5" s="3" t="s">
        <v>13</v>
      </c>
      <c r="K5" s="3" t="s">
        <v>13</v>
      </c>
      <c r="L5" s="3" t="s">
        <v>528</v>
      </c>
      <c r="M5" s="3" t="s">
        <v>529</v>
      </c>
      <c r="N5" s="3" t="s">
        <v>13</v>
      </c>
      <c r="O5">
        <v>1</v>
      </c>
      <c r="R5">
        <v>200</v>
      </c>
      <c r="S5">
        <v>100</v>
      </c>
      <c r="U5" t="str">
        <f t="shared" si="0"/>
        <v>Mohan Narvekar Your Unique Reference# 121087 Registration confirmed</v>
      </c>
      <c r="V5" s="11" t="s">
        <v>766</v>
      </c>
      <c r="X5" t="s">
        <v>13</v>
      </c>
    </row>
    <row r="6" spans="1:24" hidden="1" x14ac:dyDescent="0.3">
      <c r="A6">
        <v>125671</v>
      </c>
      <c r="B6" s="2">
        <v>43054.409396365736</v>
      </c>
      <c r="C6" s="2" t="s">
        <v>651</v>
      </c>
      <c r="D6" s="3" t="s">
        <v>317</v>
      </c>
      <c r="E6" s="3">
        <v>1962</v>
      </c>
      <c r="F6" s="3">
        <v>9322262179</v>
      </c>
      <c r="G6" s="3" t="s">
        <v>13</v>
      </c>
      <c r="H6" s="3">
        <v>2</v>
      </c>
      <c r="I6" s="3" t="s">
        <v>20</v>
      </c>
      <c r="J6" s="3" t="s">
        <v>13</v>
      </c>
      <c r="K6" s="3" t="s">
        <v>13</v>
      </c>
      <c r="L6" s="3" t="s">
        <v>319</v>
      </c>
      <c r="M6" s="3" t="s">
        <v>320</v>
      </c>
      <c r="N6" s="3" t="s">
        <v>13</v>
      </c>
      <c r="O6">
        <v>2</v>
      </c>
      <c r="R6">
        <v>400</v>
      </c>
      <c r="S6">
        <v>100</v>
      </c>
      <c r="U6" t="str">
        <f t="shared" si="0"/>
        <v>Chandru Ramchand Soneji Your Unique Reference# 125671 Registration confirmed</v>
      </c>
      <c r="X6" t="s">
        <v>13</v>
      </c>
    </row>
    <row r="7" spans="1:24" hidden="1" x14ac:dyDescent="0.3">
      <c r="A7">
        <v>189400</v>
      </c>
      <c r="C7" s="4" t="s">
        <v>652</v>
      </c>
      <c r="D7" s="4" t="s">
        <v>677</v>
      </c>
      <c r="E7">
        <v>1964</v>
      </c>
      <c r="F7">
        <v>9962291947</v>
      </c>
      <c r="G7" s="4" t="s">
        <v>13</v>
      </c>
      <c r="H7">
        <v>1</v>
      </c>
      <c r="I7" t="s">
        <v>141</v>
      </c>
      <c r="J7" s="4" t="s">
        <v>25</v>
      </c>
      <c r="K7" s="4" t="s">
        <v>25</v>
      </c>
      <c r="M7" s="4" t="s">
        <v>59</v>
      </c>
      <c r="N7" s="4" t="s">
        <v>13</v>
      </c>
      <c r="O7">
        <v>1</v>
      </c>
      <c r="Q7" s="4" t="s">
        <v>697</v>
      </c>
      <c r="R7">
        <v>200</v>
      </c>
      <c r="S7">
        <v>100</v>
      </c>
      <c r="U7" t="str">
        <f t="shared" si="0"/>
        <v>CR Kamalashekar Your Unique Reference# 189400 Registration confirmed</v>
      </c>
    </row>
    <row r="8" spans="1:24" hidden="1" x14ac:dyDescent="0.3">
      <c r="A8">
        <v>106219</v>
      </c>
      <c r="C8" s="4" t="s">
        <v>652</v>
      </c>
      <c r="D8" s="4" t="s">
        <v>672</v>
      </c>
      <c r="E8">
        <v>1964</v>
      </c>
      <c r="G8" s="4" t="s">
        <v>13</v>
      </c>
      <c r="H8">
        <v>1</v>
      </c>
      <c r="I8" t="s">
        <v>141</v>
      </c>
      <c r="J8" s="4" t="s">
        <v>25</v>
      </c>
      <c r="K8" s="4" t="s">
        <v>25</v>
      </c>
      <c r="N8" s="4" t="s">
        <v>13</v>
      </c>
      <c r="O8">
        <v>1</v>
      </c>
      <c r="Q8" s="4" t="s">
        <v>696</v>
      </c>
      <c r="R8">
        <v>200</v>
      </c>
      <c r="S8">
        <v>100</v>
      </c>
      <c r="U8" t="str">
        <f t="shared" si="0"/>
        <v>Evelyn Mercilyn Your Unique Reference# 106219 Registration confirmed</v>
      </c>
      <c r="V8" s="11" t="s">
        <v>766</v>
      </c>
    </row>
    <row r="9" spans="1:24" hidden="1" x14ac:dyDescent="0.3">
      <c r="A9" s="17">
        <v>189962</v>
      </c>
      <c r="B9" s="2">
        <v>43054.8170359375</v>
      </c>
      <c r="C9" s="18" t="s">
        <v>651</v>
      </c>
      <c r="D9" s="17" t="s">
        <v>325</v>
      </c>
      <c r="E9" s="17">
        <v>1964</v>
      </c>
      <c r="F9" s="17">
        <v>9840113782</v>
      </c>
      <c r="G9" s="17" t="s">
        <v>13</v>
      </c>
      <c r="H9" s="17">
        <v>3</v>
      </c>
      <c r="I9" s="17" t="s">
        <v>35</v>
      </c>
      <c r="J9" s="17" t="s">
        <v>13</v>
      </c>
      <c r="K9" s="17" t="s">
        <v>25</v>
      </c>
      <c r="L9" s="17" t="s">
        <v>326</v>
      </c>
      <c r="M9" s="17" t="s">
        <v>59</v>
      </c>
      <c r="N9" s="17" t="s">
        <v>13</v>
      </c>
      <c r="O9">
        <v>3</v>
      </c>
      <c r="R9" s="17">
        <v>600</v>
      </c>
      <c r="S9" s="17">
        <v>100</v>
      </c>
      <c r="T9" s="17"/>
      <c r="U9" t="str">
        <f t="shared" si="0"/>
        <v>Jerry Fernandes Your Unique Reference# 189962 Registration confirmed</v>
      </c>
      <c r="X9" s="17" t="s">
        <v>25</v>
      </c>
    </row>
    <row r="10" spans="1:24" hidden="1" x14ac:dyDescent="0.3">
      <c r="A10">
        <v>175255</v>
      </c>
      <c r="C10" s="4" t="s">
        <v>652</v>
      </c>
      <c r="D10" t="s">
        <v>653</v>
      </c>
      <c r="E10">
        <v>1964</v>
      </c>
      <c r="F10">
        <v>9841326849</v>
      </c>
      <c r="G10" t="s">
        <v>13</v>
      </c>
      <c r="H10">
        <v>1</v>
      </c>
      <c r="I10" t="s">
        <v>141</v>
      </c>
      <c r="J10" t="s">
        <v>25</v>
      </c>
      <c r="L10" s="6" t="s">
        <v>678</v>
      </c>
      <c r="M10" t="s">
        <v>679</v>
      </c>
      <c r="N10" t="s">
        <v>13</v>
      </c>
      <c r="O10">
        <v>1</v>
      </c>
      <c r="Q10" t="s">
        <v>694</v>
      </c>
      <c r="R10">
        <v>200</v>
      </c>
      <c r="S10">
        <v>100</v>
      </c>
      <c r="U10" t="str">
        <f t="shared" si="0"/>
        <v>Mahmood Ali Your Unique Reference# 175255 Registration confirmed</v>
      </c>
    </row>
    <row r="11" spans="1:24" hidden="1" x14ac:dyDescent="0.3">
      <c r="A11">
        <v>176265</v>
      </c>
      <c r="C11" s="4" t="s">
        <v>652</v>
      </c>
      <c r="D11" t="s">
        <v>654</v>
      </c>
      <c r="E11">
        <v>1964</v>
      </c>
      <c r="F11">
        <v>9940208512</v>
      </c>
      <c r="G11" t="s">
        <v>13</v>
      </c>
      <c r="H11">
        <v>1</v>
      </c>
      <c r="I11" t="s">
        <v>141</v>
      </c>
      <c r="J11" t="s">
        <v>25</v>
      </c>
      <c r="M11" t="s">
        <v>680</v>
      </c>
      <c r="N11" t="s">
        <v>13</v>
      </c>
      <c r="O11">
        <v>1</v>
      </c>
      <c r="Q11" t="s">
        <v>694</v>
      </c>
      <c r="R11">
        <v>200</v>
      </c>
      <c r="S11">
        <v>100</v>
      </c>
      <c r="U11" t="str">
        <f t="shared" si="0"/>
        <v>Mohamed Taqui Your Unique Reference# 176265 Registration confirmed</v>
      </c>
    </row>
    <row r="12" spans="1:24" hidden="1" x14ac:dyDescent="0.3">
      <c r="A12">
        <v>181093</v>
      </c>
      <c r="C12" s="4" t="s">
        <v>652</v>
      </c>
      <c r="D12" t="s">
        <v>655</v>
      </c>
      <c r="E12">
        <v>1964</v>
      </c>
      <c r="F12">
        <v>9840155520</v>
      </c>
      <c r="G12" t="s">
        <v>13</v>
      </c>
      <c r="H12">
        <v>1</v>
      </c>
      <c r="I12" t="s">
        <v>141</v>
      </c>
      <c r="J12" t="s">
        <v>25</v>
      </c>
      <c r="M12" t="s">
        <v>681</v>
      </c>
      <c r="N12" t="s">
        <v>13</v>
      </c>
      <c r="O12">
        <v>1</v>
      </c>
      <c r="Q12" t="s">
        <v>694</v>
      </c>
      <c r="R12">
        <v>200</v>
      </c>
      <c r="S12">
        <v>100</v>
      </c>
      <c r="U12" t="str">
        <f t="shared" si="0"/>
        <v>Mohammed Yusuf Your Unique Reference# 181093 Registration confirmed</v>
      </c>
    </row>
    <row r="13" spans="1:24" hidden="1" x14ac:dyDescent="0.3">
      <c r="A13">
        <v>178110</v>
      </c>
      <c r="C13" s="4" t="s">
        <v>652</v>
      </c>
      <c r="D13" s="4" t="s">
        <v>676</v>
      </c>
      <c r="E13">
        <v>1965</v>
      </c>
      <c r="F13">
        <v>9884197975</v>
      </c>
      <c r="G13" s="4" t="s">
        <v>13</v>
      </c>
      <c r="H13">
        <v>1</v>
      </c>
      <c r="I13" t="s">
        <v>141</v>
      </c>
      <c r="J13" s="4" t="s">
        <v>25</v>
      </c>
      <c r="K13" s="4" t="s">
        <v>25</v>
      </c>
      <c r="M13" s="4" t="s">
        <v>59</v>
      </c>
      <c r="N13" s="4" t="s">
        <v>13</v>
      </c>
      <c r="O13">
        <v>1</v>
      </c>
      <c r="Q13" s="4" t="s">
        <v>697</v>
      </c>
      <c r="R13">
        <v>200</v>
      </c>
      <c r="S13">
        <v>100</v>
      </c>
      <c r="U13" t="str">
        <f t="shared" si="0"/>
        <v>K Bhaskar Your Unique Reference# 178110 Registration confirmed</v>
      </c>
    </row>
    <row r="14" spans="1:24" hidden="1" x14ac:dyDescent="0.3">
      <c r="A14">
        <v>175836</v>
      </c>
      <c r="C14" s="4" t="s">
        <v>652</v>
      </c>
      <c r="D14" t="s">
        <v>736</v>
      </c>
      <c r="E14">
        <v>1965</v>
      </c>
      <c r="G14" s="4" t="s">
        <v>13</v>
      </c>
      <c r="J14" t="s">
        <v>25</v>
      </c>
      <c r="K14" t="s">
        <v>25</v>
      </c>
      <c r="N14" s="4" t="s">
        <v>13</v>
      </c>
      <c r="O14">
        <v>1</v>
      </c>
      <c r="R14">
        <v>200</v>
      </c>
      <c r="S14">
        <v>100</v>
      </c>
      <c r="U14" t="str">
        <f t="shared" si="0"/>
        <v>P.D. Rangu Your Unique Reference# 175836 Registration confirmed</v>
      </c>
      <c r="V14" s="11" t="s">
        <v>766</v>
      </c>
    </row>
    <row r="15" spans="1:24" hidden="1" x14ac:dyDescent="0.3">
      <c r="A15">
        <v>144623</v>
      </c>
      <c r="B15" s="2">
        <v>43048.930493472217</v>
      </c>
      <c r="C15" s="2" t="s">
        <v>651</v>
      </c>
      <c r="D15" s="3" t="s">
        <v>238</v>
      </c>
      <c r="E15" s="3">
        <v>1966</v>
      </c>
      <c r="F15" s="3">
        <v>9884048925</v>
      </c>
      <c r="G15" s="3" t="s">
        <v>13</v>
      </c>
      <c r="H15" s="3" t="s">
        <v>40</v>
      </c>
      <c r="I15" s="3" t="s">
        <v>141</v>
      </c>
      <c r="J15" s="3" t="s">
        <v>13</v>
      </c>
      <c r="K15" s="3" t="s">
        <v>13</v>
      </c>
      <c r="L15" s="3" t="s">
        <v>237</v>
      </c>
      <c r="M15" s="3" t="s">
        <v>240</v>
      </c>
      <c r="N15" s="3" t="s">
        <v>13</v>
      </c>
      <c r="O15">
        <v>1</v>
      </c>
      <c r="R15">
        <v>200</v>
      </c>
      <c r="S15">
        <v>100</v>
      </c>
      <c r="U15" t="str">
        <f t="shared" si="0"/>
        <v>Evelyn George (Francis) Your Unique Reference# 144623 Registration confirmed</v>
      </c>
      <c r="X15" s="4" t="s">
        <v>13</v>
      </c>
    </row>
    <row r="16" spans="1:24" hidden="1" x14ac:dyDescent="0.3">
      <c r="A16">
        <v>104993</v>
      </c>
      <c r="B16" t="s">
        <v>738</v>
      </c>
      <c r="C16" s="4" t="s">
        <v>652</v>
      </c>
      <c r="D16" t="s">
        <v>743</v>
      </c>
      <c r="E16">
        <v>1966</v>
      </c>
      <c r="F16">
        <v>9940510642</v>
      </c>
      <c r="G16" s="4" t="s">
        <v>13</v>
      </c>
      <c r="H16">
        <v>1</v>
      </c>
      <c r="I16" t="s">
        <v>141</v>
      </c>
      <c r="J16" t="s">
        <v>25</v>
      </c>
      <c r="K16" t="s">
        <v>25</v>
      </c>
      <c r="N16" s="4" t="s">
        <v>13</v>
      </c>
      <c r="O16">
        <v>1</v>
      </c>
      <c r="R16">
        <v>200</v>
      </c>
      <c r="S16">
        <v>100</v>
      </c>
      <c r="U16" t="str">
        <f t="shared" si="0"/>
        <v>I. Mohammed Hashim Your Unique Reference# 104993 Registration confirmed</v>
      </c>
    </row>
    <row r="17" spans="1:24" hidden="1" x14ac:dyDescent="0.3">
      <c r="A17">
        <v>107780</v>
      </c>
      <c r="B17" s="2">
        <v>43056.458616597221</v>
      </c>
      <c r="C17" s="2" t="s">
        <v>651</v>
      </c>
      <c r="D17" s="3" t="s">
        <v>343</v>
      </c>
      <c r="E17" s="3">
        <v>1966</v>
      </c>
      <c r="F17" s="3">
        <v>9840734632</v>
      </c>
      <c r="G17" s="3" t="s">
        <v>13</v>
      </c>
      <c r="H17" s="3" t="s">
        <v>101</v>
      </c>
      <c r="I17" s="3" t="s">
        <v>41</v>
      </c>
      <c r="J17" s="3" t="s">
        <v>25</v>
      </c>
      <c r="K17" s="3" t="s">
        <v>25</v>
      </c>
      <c r="L17" s="3" t="s">
        <v>345</v>
      </c>
      <c r="M17" s="3" t="s">
        <v>193</v>
      </c>
      <c r="N17" s="3" t="s">
        <v>13</v>
      </c>
      <c r="O17">
        <v>1</v>
      </c>
      <c r="R17">
        <v>200</v>
      </c>
      <c r="S17">
        <v>100</v>
      </c>
      <c r="U17" t="str">
        <f t="shared" si="0"/>
        <v>Jennifer Ann Pascal (Santineer) Your Unique Reference# 107780 Registration confirmed</v>
      </c>
    </row>
    <row r="18" spans="1:24" hidden="1" x14ac:dyDescent="0.3">
      <c r="A18">
        <v>162906</v>
      </c>
      <c r="B18" t="s">
        <v>738</v>
      </c>
      <c r="C18" s="4" t="s">
        <v>652</v>
      </c>
      <c r="D18" t="s">
        <v>747</v>
      </c>
      <c r="E18">
        <v>1966</v>
      </c>
      <c r="G18" s="4" t="s">
        <v>13</v>
      </c>
      <c r="H18">
        <v>1</v>
      </c>
      <c r="I18" t="s">
        <v>141</v>
      </c>
      <c r="J18" t="s">
        <v>25</v>
      </c>
      <c r="K18" t="s">
        <v>25</v>
      </c>
      <c r="N18" s="4" t="s">
        <v>13</v>
      </c>
      <c r="O18">
        <v>1</v>
      </c>
      <c r="R18">
        <v>200</v>
      </c>
      <c r="S18">
        <v>100</v>
      </c>
      <c r="U18" t="str">
        <f t="shared" si="0"/>
        <v>Mr. Bell Samuel Your Unique Reference# 162906 Registration confirmed</v>
      </c>
    </row>
    <row r="19" spans="1:24" hidden="1" x14ac:dyDescent="0.3">
      <c r="A19">
        <v>129388</v>
      </c>
      <c r="B19" t="s">
        <v>697</v>
      </c>
      <c r="C19" s="4" t="s">
        <v>652</v>
      </c>
      <c r="D19" t="s">
        <v>761</v>
      </c>
      <c r="E19">
        <v>1966</v>
      </c>
      <c r="F19">
        <v>9841146424</v>
      </c>
      <c r="G19" t="s">
        <v>13</v>
      </c>
      <c r="H19">
        <v>1</v>
      </c>
      <c r="I19" t="s">
        <v>141</v>
      </c>
      <c r="J19" t="s">
        <v>25</v>
      </c>
      <c r="K19" t="s">
        <v>25</v>
      </c>
      <c r="N19" t="s">
        <v>13</v>
      </c>
      <c r="O19">
        <v>1</v>
      </c>
      <c r="R19">
        <v>200</v>
      </c>
      <c r="S19">
        <v>100</v>
      </c>
      <c r="U19" t="str">
        <f t="shared" si="0"/>
        <v>Rachel Kenneth Your Unique Reference# 129388 Registration confirmed</v>
      </c>
      <c r="V19" s="11" t="s">
        <v>766</v>
      </c>
    </row>
    <row r="20" spans="1:24" hidden="1" x14ac:dyDescent="0.3">
      <c r="A20">
        <v>108175</v>
      </c>
      <c r="B20" s="2">
        <v>43055.527546145837</v>
      </c>
      <c r="C20" s="2" t="s">
        <v>651</v>
      </c>
      <c r="D20" s="3" t="s">
        <v>327</v>
      </c>
      <c r="E20" s="3">
        <v>1966</v>
      </c>
      <c r="F20" s="3">
        <v>9710729679</v>
      </c>
      <c r="G20" s="3" t="s">
        <v>13</v>
      </c>
      <c r="H20" s="3" t="s">
        <v>101</v>
      </c>
      <c r="I20" s="3" t="s">
        <v>41</v>
      </c>
      <c r="J20" s="3" t="s">
        <v>25</v>
      </c>
      <c r="K20" s="3" t="s">
        <v>25</v>
      </c>
      <c r="L20" s="3" t="s">
        <v>329</v>
      </c>
      <c r="M20" s="3" t="s">
        <v>17</v>
      </c>
      <c r="N20" s="3" t="s">
        <v>13</v>
      </c>
      <c r="O20">
        <v>1</v>
      </c>
      <c r="Q20" s="3" t="s">
        <v>724</v>
      </c>
      <c r="R20">
        <v>200</v>
      </c>
      <c r="S20">
        <v>100</v>
      </c>
      <c r="U20" t="str">
        <f t="shared" si="0"/>
        <v>Rev.Dr.Thomas Rajan Joseph D.D. (Tommy) Your Unique Reference# 108175 Registration confirmed</v>
      </c>
    </row>
    <row r="21" spans="1:24" hidden="1" x14ac:dyDescent="0.3">
      <c r="A21">
        <v>109235</v>
      </c>
      <c r="B21" t="s">
        <v>697</v>
      </c>
      <c r="C21" s="4" t="s">
        <v>652</v>
      </c>
      <c r="D21" t="s">
        <v>760</v>
      </c>
      <c r="E21">
        <v>1966</v>
      </c>
      <c r="F21">
        <v>9962803017</v>
      </c>
      <c r="G21" t="s">
        <v>13</v>
      </c>
      <c r="H21">
        <v>1</v>
      </c>
      <c r="I21" t="s">
        <v>141</v>
      </c>
      <c r="J21" t="s">
        <v>25</v>
      </c>
      <c r="K21" t="s">
        <v>25</v>
      </c>
      <c r="N21" t="s">
        <v>13</v>
      </c>
      <c r="O21">
        <v>1</v>
      </c>
      <c r="R21">
        <v>200</v>
      </c>
      <c r="S21">
        <v>100</v>
      </c>
      <c r="U21" t="str">
        <f t="shared" si="0"/>
        <v>Shantha Kumari Ignatius Your Unique Reference# 109235 Registration confirmed</v>
      </c>
    </row>
    <row r="22" spans="1:24" hidden="1" x14ac:dyDescent="0.3">
      <c r="A22">
        <v>182822</v>
      </c>
      <c r="B22" t="s">
        <v>697</v>
      </c>
      <c r="C22" s="4" t="s">
        <v>652</v>
      </c>
      <c r="D22" t="s">
        <v>759</v>
      </c>
      <c r="E22">
        <v>1966</v>
      </c>
      <c r="F22">
        <v>9884823063</v>
      </c>
      <c r="G22" t="s">
        <v>13</v>
      </c>
      <c r="H22">
        <v>1</v>
      </c>
      <c r="I22" t="s">
        <v>141</v>
      </c>
      <c r="J22" t="s">
        <v>25</v>
      </c>
      <c r="K22" t="s">
        <v>25</v>
      </c>
      <c r="N22" t="s">
        <v>13</v>
      </c>
      <c r="O22">
        <v>1</v>
      </c>
      <c r="R22">
        <v>200</v>
      </c>
      <c r="S22">
        <v>100</v>
      </c>
      <c r="U22" t="str">
        <f t="shared" si="0"/>
        <v>Vasantha Ignatius Your Unique Reference# 182822 Registration confirmed</v>
      </c>
    </row>
    <row r="23" spans="1:24" hidden="1" x14ac:dyDescent="0.3">
      <c r="A23">
        <v>141442</v>
      </c>
      <c r="B23" t="s">
        <v>738</v>
      </c>
      <c r="C23" s="4" t="s">
        <v>652</v>
      </c>
      <c r="D23" t="s">
        <v>748</v>
      </c>
      <c r="E23">
        <v>1967</v>
      </c>
      <c r="F23">
        <v>9840083595</v>
      </c>
      <c r="G23" s="4" t="s">
        <v>13</v>
      </c>
      <c r="H23">
        <v>1</v>
      </c>
      <c r="I23" t="s">
        <v>141</v>
      </c>
      <c r="J23" t="s">
        <v>25</v>
      </c>
      <c r="K23" t="s">
        <v>25</v>
      </c>
      <c r="N23" s="4" t="s">
        <v>13</v>
      </c>
      <c r="O23">
        <v>1</v>
      </c>
      <c r="R23">
        <v>200</v>
      </c>
      <c r="S23">
        <v>100</v>
      </c>
      <c r="U23" t="str">
        <f t="shared" si="0"/>
        <v>Mr. K.G.Prem Kumar Your Unique Reference# 141442 Registration confirmed</v>
      </c>
      <c r="V23" s="11" t="s">
        <v>766</v>
      </c>
    </row>
    <row r="24" spans="1:24" hidden="1" x14ac:dyDescent="0.3">
      <c r="A24">
        <v>158656</v>
      </c>
      <c r="B24" s="2">
        <v>43047.751034525463</v>
      </c>
      <c r="C24" s="2" t="s">
        <v>651</v>
      </c>
      <c r="D24" s="3" t="s">
        <v>11</v>
      </c>
      <c r="E24" s="3">
        <v>1968</v>
      </c>
      <c r="F24" s="3">
        <v>8056040379</v>
      </c>
      <c r="G24" s="3" t="s">
        <v>13</v>
      </c>
      <c r="H24" s="3" t="s">
        <v>14</v>
      </c>
      <c r="I24" s="3" t="s">
        <v>15</v>
      </c>
      <c r="J24" s="3" t="s">
        <v>13</v>
      </c>
      <c r="K24" s="3" t="s">
        <v>13</v>
      </c>
      <c r="L24" s="3" t="s">
        <v>16</v>
      </c>
      <c r="M24" s="3" t="s">
        <v>17</v>
      </c>
      <c r="N24" s="3" t="s">
        <v>13</v>
      </c>
      <c r="O24">
        <v>1</v>
      </c>
      <c r="R24">
        <v>200</v>
      </c>
      <c r="S24">
        <v>100</v>
      </c>
      <c r="U24" t="str">
        <f t="shared" si="0"/>
        <v>K J Mohan Kumar Your Unique Reference# 158656 Registration confirmed</v>
      </c>
      <c r="V24" s="11" t="s">
        <v>766</v>
      </c>
      <c r="X24" s="4" t="s">
        <v>13</v>
      </c>
    </row>
    <row r="25" spans="1:24" hidden="1" x14ac:dyDescent="0.3">
      <c r="A25">
        <v>134056</v>
      </c>
      <c r="B25" s="2">
        <v>43047.757646064812</v>
      </c>
      <c r="C25" s="2" t="s">
        <v>651</v>
      </c>
      <c r="D25" s="3" t="s">
        <v>33</v>
      </c>
      <c r="E25" s="3">
        <v>1968</v>
      </c>
      <c r="F25" s="3">
        <v>8825655102</v>
      </c>
      <c r="G25" s="3" t="s">
        <v>13</v>
      </c>
      <c r="H25" s="3">
        <v>2</v>
      </c>
      <c r="I25" s="3" t="s">
        <v>35</v>
      </c>
      <c r="J25" s="3" t="s">
        <v>13</v>
      </c>
      <c r="K25" s="3" t="s">
        <v>13</v>
      </c>
      <c r="L25" s="3" t="s">
        <v>36</v>
      </c>
      <c r="M25" s="3" t="s">
        <v>37</v>
      </c>
      <c r="N25" s="3" t="s">
        <v>13</v>
      </c>
      <c r="O25">
        <v>2</v>
      </c>
      <c r="R25">
        <v>400</v>
      </c>
      <c r="S25">
        <v>100</v>
      </c>
      <c r="U25" t="str">
        <f t="shared" si="0"/>
        <v>N G Dhayanandhan Your Unique Reference# 134056 Registration confirmed</v>
      </c>
      <c r="V25" s="11" t="s">
        <v>766</v>
      </c>
      <c r="X25" s="4" t="s">
        <v>13</v>
      </c>
    </row>
    <row r="26" spans="1:24" hidden="1" x14ac:dyDescent="0.3">
      <c r="A26">
        <v>138615</v>
      </c>
      <c r="B26" s="2">
        <v>43047.814857291669</v>
      </c>
      <c r="C26" s="2" t="s">
        <v>651</v>
      </c>
      <c r="D26" s="3" t="s">
        <v>99</v>
      </c>
      <c r="E26" s="3">
        <v>1968</v>
      </c>
      <c r="F26" s="3">
        <v>9901436902</v>
      </c>
      <c r="G26" s="3" t="s">
        <v>13</v>
      </c>
      <c r="H26" s="3" t="s">
        <v>101</v>
      </c>
      <c r="I26" s="3" t="s">
        <v>15</v>
      </c>
      <c r="J26" s="3" t="s">
        <v>13</v>
      </c>
      <c r="K26" s="3" t="s">
        <v>13</v>
      </c>
      <c r="L26" s="3" t="s">
        <v>102</v>
      </c>
      <c r="M26" s="3" t="s">
        <v>103</v>
      </c>
      <c r="N26" s="3" t="s">
        <v>13</v>
      </c>
      <c r="O26">
        <v>1</v>
      </c>
      <c r="R26">
        <v>200</v>
      </c>
      <c r="S26">
        <v>100</v>
      </c>
      <c r="U26" t="str">
        <f t="shared" si="0"/>
        <v>N. G. MANOHARAN Your Unique Reference# 138615 Registration confirmed</v>
      </c>
      <c r="X26" s="4" t="s">
        <v>13</v>
      </c>
    </row>
    <row r="27" spans="1:24" hidden="1" x14ac:dyDescent="0.3">
      <c r="A27">
        <v>175613</v>
      </c>
      <c r="C27" s="4" t="s">
        <v>652</v>
      </c>
      <c r="D27" s="4" t="s">
        <v>673</v>
      </c>
      <c r="E27">
        <v>1970</v>
      </c>
      <c r="G27" s="4" t="s">
        <v>13</v>
      </c>
      <c r="H27">
        <v>1</v>
      </c>
      <c r="I27" t="s">
        <v>141</v>
      </c>
      <c r="J27" s="4" t="s">
        <v>25</v>
      </c>
      <c r="K27" s="4" t="s">
        <v>25</v>
      </c>
      <c r="N27" s="4" t="s">
        <v>13</v>
      </c>
      <c r="O27">
        <v>1</v>
      </c>
      <c r="Q27" s="4" t="s">
        <v>696</v>
      </c>
      <c r="R27">
        <v>200</v>
      </c>
      <c r="S27">
        <v>100</v>
      </c>
      <c r="U27" t="str">
        <f t="shared" si="0"/>
        <v>Eileen James Your Unique Reference# 175613 Registration confirmed</v>
      </c>
    </row>
    <row r="28" spans="1:24" hidden="1" x14ac:dyDescent="0.3">
      <c r="A28">
        <v>122709</v>
      </c>
      <c r="C28" s="4" t="s">
        <v>652</v>
      </c>
      <c r="D28" s="4" t="s">
        <v>664</v>
      </c>
      <c r="E28">
        <v>1970</v>
      </c>
      <c r="G28" s="4" t="s">
        <v>13</v>
      </c>
      <c r="H28">
        <v>1</v>
      </c>
      <c r="I28" t="s">
        <v>141</v>
      </c>
      <c r="J28" s="4" t="s">
        <v>25</v>
      </c>
      <c r="K28" s="4" t="s">
        <v>25</v>
      </c>
      <c r="N28" s="4" t="s">
        <v>13</v>
      </c>
      <c r="O28">
        <v>1</v>
      </c>
      <c r="Q28" s="4" t="s">
        <v>695</v>
      </c>
      <c r="R28">
        <v>200</v>
      </c>
      <c r="U28" t="str">
        <f t="shared" si="0"/>
        <v>Felicity Joseph Your Unique Reference# 122709 Registration confirmed</v>
      </c>
    </row>
    <row r="29" spans="1:24" ht="27" hidden="1" x14ac:dyDescent="0.3">
      <c r="A29">
        <v>114549</v>
      </c>
      <c r="C29" s="4" t="s">
        <v>652</v>
      </c>
      <c r="D29" s="5" t="s">
        <v>659</v>
      </c>
      <c r="E29">
        <v>1970</v>
      </c>
      <c r="G29" s="4" t="s">
        <v>13</v>
      </c>
      <c r="H29">
        <v>2</v>
      </c>
      <c r="I29" t="s">
        <v>141</v>
      </c>
      <c r="J29" s="4" t="s">
        <v>25</v>
      </c>
      <c r="K29" s="4" t="s">
        <v>25</v>
      </c>
      <c r="N29" s="4" t="s">
        <v>13</v>
      </c>
      <c r="O29">
        <v>2</v>
      </c>
      <c r="P29" s="4"/>
      <c r="Q29" s="4" t="s">
        <v>695</v>
      </c>
      <c r="R29">
        <v>200</v>
      </c>
      <c r="S29">
        <v>100</v>
      </c>
      <c r="U29" t="str">
        <f t="shared" si="0"/>
        <v>Mirilla Austin (Church Committee Member) Your Unique Reference# 114549 Registration confirmed</v>
      </c>
      <c r="V29" s="11" t="s">
        <v>766</v>
      </c>
    </row>
    <row r="30" spans="1:24" hidden="1" x14ac:dyDescent="0.3">
      <c r="A30">
        <v>173500</v>
      </c>
      <c r="B30" s="2">
        <v>43047.845309988421</v>
      </c>
      <c r="C30" s="2" t="s">
        <v>651</v>
      </c>
      <c r="D30" s="3" t="s">
        <v>113</v>
      </c>
      <c r="E30" s="3">
        <v>1971</v>
      </c>
      <c r="F30" s="3">
        <v>9445155779</v>
      </c>
      <c r="G30" s="3" t="s">
        <v>13</v>
      </c>
      <c r="H30" s="3" t="s">
        <v>115</v>
      </c>
      <c r="I30" s="3" t="s">
        <v>20</v>
      </c>
      <c r="J30" s="3" t="s">
        <v>13</v>
      </c>
      <c r="K30" s="3" t="s">
        <v>13</v>
      </c>
      <c r="L30" s="3" t="s">
        <v>116</v>
      </c>
      <c r="M30" s="3" t="s">
        <v>17</v>
      </c>
      <c r="N30" s="3" t="s">
        <v>13</v>
      </c>
      <c r="O30">
        <v>2</v>
      </c>
      <c r="R30">
        <v>400</v>
      </c>
      <c r="S30">
        <v>100</v>
      </c>
      <c r="U30" t="str">
        <f t="shared" si="0"/>
        <v>BOBBY MATHEW Your Unique Reference# 173500 Registration confirmed</v>
      </c>
      <c r="X30" s="4" t="s">
        <v>13</v>
      </c>
    </row>
    <row r="31" spans="1:24" hidden="1" x14ac:dyDescent="0.3">
      <c r="A31">
        <v>145671</v>
      </c>
      <c r="B31" s="2">
        <v>43061.462324942127</v>
      </c>
      <c r="C31" s="2" t="s">
        <v>651</v>
      </c>
      <c r="D31" s="3" t="s">
        <v>520</v>
      </c>
      <c r="E31" s="3">
        <v>1971</v>
      </c>
      <c r="F31" s="3">
        <v>9790748317</v>
      </c>
      <c r="G31" s="3" t="s">
        <v>13</v>
      </c>
      <c r="H31" s="3">
        <v>1</v>
      </c>
      <c r="I31" s="3" t="s">
        <v>521</v>
      </c>
      <c r="J31" s="3" t="s">
        <v>13</v>
      </c>
      <c r="K31" s="3" t="s">
        <v>13</v>
      </c>
      <c r="L31" s="3" t="s">
        <v>522</v>
      </c>
      <c r="M31" s="3" t="s">
        <v>59</v>
      </c>
      <c r="N31" s="3" t="s">
        <v>13</v>
      </c>
      <c r="O31">
        <v>1</v>
      </c>
      <c r="R31">
        <v>200</v>
      </c>
      <c r="S31">
        <v>100</v>
      </c>
      <c r="U31" t="str">
        <f t="shared" si="0"/>
        <v>C R Suresh Your Unique Reference# 145671 Registration confirmed</v>
      </c>
      <c r="X31" s="4" t="s">
        <v>13</v>
      </c>
    </row>
    <row r="32" spans="1:24" hidden="1" x14ac:dyDescent="0.3">
      <c r="A32">
        <v>115057</v>
      </c>
      <c r="B32" s="2">
        <v>43061.464401226855</v>
      </c>
      <c r="C32" s="2" t="s">
        <v>651</v>
      </c>
      <c r="D32" s="3" t="s">
        <v>523</v>
      </c>
      <c r="E32" s="3">
        <v>1971</v>
      </c>
      <c r="F32" s="3">
        <v>9790748317</v>
      </c>
      <c r="G32" s="3" t="s">
        <v>13</v>
      </c>
      <c r="H32" s="3">
        <v>1</v>
      </c>
      <c r="I32" s="3" t="s">
        <v>521</v>
      </c>
      <c r="J32" s="3" t="s">
        <v>13</v>
      </c>
      <c r="K32" s="3" t="s">
        <v>13</v>
      </c>
      <c r="L32" s="3" t="s">
        <v>522</v>
      </c>
      <c r="M32" s="3" t="s">
        <v>59</v>
      </c>
      <c r="N32" s="3" t="s">
        <v>13</v>
      </c>
      <c r="O32">
        <v>1</v>
      </c>
      <c r="R32">
        <v>200</v>
      </c>
      <c r="S32">
        <v>100</v>
      </c>
      <c r="U32" t="str">
        <f t="shared" si="0"/>
        <v>CR Suresh Your Unique Reference# 115057 Registration confirmed</v>
      </c>
      <c r="V32" s="11" t="s">
        <v>766</v>
      </c>
      <c r="X32" s="4" t="s">
        <v>13</v>
      </c>
    </row>
    <row r="33" spans="1:22" x14ac:dyDescent="0.3">
      <c r="A33">
        <v>182153</v>
      </c>
      <c r="B33" s="2">
        <v>43047.839898657403</v>
      </c>
      <c r="C33" s="2" t="s">
        <v>651</v>
      </c>
      <c r="D33" s="3" t="s">
        <v>104</v>
      </c>
      <c r="E33" s="3">
        <v>1971</v>
      </c>
      <c r="F33" s="3">
        <v>9840072030</v>
      </c>
      <c r="G33" s="3" t="s">
        <v>13</v>
      </c>
      <c r="H33" s="3">
        <v>2</v>
      </c>
      <c r="I33" s="3" t="s">
        <v>15</v>
      </c>
      <c r="J33" s="3" t="s">
        <v>13</v>
      </c>
      <c r="K33" s="3" t="s">
        <v>13</v>
      </c>
      <c r="L33" s="3" t="s">
        <v>106</v>
      </c>
      <c r="M33" s="3" t="s">
        <v>107</v>
      </c>
      <c r="N33" s="3" t="s">
        <v>13</v>
      </c>
      <c r="O33">
        <v>2</v>
      </c>
      <c r="R33">
        <v>400</v>
      </c>
      <c r="S33">
        <v>100</v>
      </c>
      <c r="U33" t="str">
        <f t="shared" si="0"/>
        <v>Sadan Palande Your Unique Reference# 182153 Registration confirmed</v>
      </c>
      <c r="V33" s="11" t="s">
        <v>766</v>
      </c>
    </row>
    <row r="34" spans="1:22" x14ac:dyDescent="0.3">
      <c r="A34">
        <v>169550</v>
      </c>
      <c r="B34" s="2">
        <v>43047.797404212964</v>
      </c>
      <c r="C34" s="2" t="s">
        <v>651</v>
      </c>
      <c r="D34" s="3" t="s">
        <v>79</v>
      </c>
      <c r="E34" s="3">
        <v>1972</v>
      </c>
      <c r="F34" s="3">
        <v>9003218255</v>
      </c>
      <c r="G34" s="3" t="s">
        <v>13</v>
      </c>
      <c r="H34" s="3" t="s">
        <v>81</v>
      </c>
      <c r="I34" s="3" t="s">
        <v>82</v>
      </c>
      <c r="J34" s="3" t="s">
        <v>13</v>
      </c>
      <c r="K34" s="3" t="s">
        <v>13</v>
      </c>
      <c r="L34" s="3" t="s">
        <v>83</v>
      </c>
      <c r="M34" s="3" t="s">
        <v>84</v>
      </c>
      <c r="N34" s="3" t="s">
        <v>13</v>
      </c>
      <c r="O34">
        <v>2</v>
      </c>
      <c r="R34">
        <v>400</v>
      </c>
      <c r="S34">
        <v>100</v>
      </c>
      <c r="U34" t="str">
        <f t="shared" ref="U34:U65" si="1">CONCATENATE(D34," ","Your Unique Reference#"," ",A34," ","Registration confirmed")</f>
        <v>A. S. Venkhat Ramani Your Unique Reference# 169550 Registration confirmed</v>
      </c>
    </row>
    <row r="35" spans="1:22" hidden="1" x14ac:dyDescent="0.3">
      <c r="A35">
        <v>149879</v>
      </c>
      <c r="B35" s="2">
        <v>43048.092233587959</v>
      </c>
      <c r="C35" s="2" t="s">
        <v>651</v>
      </c>
      <c r="D35" s="3" t="s">
        <v>155</v>
      </c>
      <c r="E35" s="3">
        <v>1972</v>
      </c>
      <c r="F35" s="10" t="s">
        <v>156</v>
      </c>
      <c r="G35" s="3" t="s">
        <v>13</v>
      </c>
      <c r="H35" s="3">
        <v>1</v>
      </c>
      <c r="I35" s="3" t="s">
        <v>15</v>
      </c>
      <c r="J35" s="3" t="s">
        <v>25</v>
      </c>
      <c r="K35" s="3" t="s">
        <v>13</v>
      </c>
      <c r="L35" s="3" t="s">
        <v>157</v>
      </c>
      <c r="M35" s="3" t="s">
        <v>158</v>
      </c>
      <c r="N35" s="3" t="s">
        <v>13</v>
      </c>
      <c r="O35">
        <v>2</v>
      </c>
      <c r="R35">
        <v>400</v>
      </c>
      <c r="S35">
        <v>100</v>
      </c>
      <c r="U35" t="str">
        <f t="shared" si="1"/>
        <v>Bobby Theophil Your Unique Reference# 149879 Registration confirmed</v>
      </c>
    </row>
    <row r="36" spans="1:22" x14ac:dyDescent="0.3">
      <c r="A36">
        <v>162923</v>
      </c>
      <c r="B36" s="2">
        <v>43059.435959236114</v>
      </c>
      <c r="C36" s="2" t="s">
        <v>651</v>
      </c>
      <c r="D36" s="3" t="s">
        <v>369</v>
      </c>
      <c r="E36" s="3">
        <v>1972</v>
      </c>
      <c r="F36" s="3">
        <v>9821936611</v>
      </c>
      <c r="G36" s="3" t="s">
        <v>13</v>
      </c>
      <c r="H36" s="3">
        <v>1</v>
      </c>
      <c r="I36" s="3" t="s">
        <v>371</v>
      </c>
      <c r="J36" s="3" t="s">
        <v>13</v>
      </c>
      <c r="K36" s="3" t="s">
        <v>13</v>
      </c>
      <c r="L36" s="3" t="s">
        <v>372</v>
      </c>
      <c r="M36" s="3" t="s">
        <v>320</v>
      </c>
      <c r="N36" s="3" t="s">
        <v>13</v>
      </c>
      <c r="O36">
        <v>1</v>
      </c>
      <c r="R36">
        <v>200</v>
      </c>
      <c r="S36">
        <v>100</v>
      </c>
      <c r="U36" t="str">
        <f t="shared" si="1"/>
        <v>Cecil Clements Your Unique Reference# 162923 Registration confirmed</v>
      </c>
      <c r="V36" s="11" t="s">
        <v>766</v>
      </c>
    </row>
    <row r="37" spans="1:22" x14ac:dyDescent="0.3">
      <c r="A37">
        <v>130584</v>
      </c>
      <c r="B37" s="2">
        <v>43048.790748298612</v>
      </c>
      <c r="C37" s="2" t="s">
        <v>651</v>
      </c>
      <c r="D37" s="3" t="s">
        <v>223</v>
      </c>
      <c r="E37" s="3">
        <v>1972</v>
      </c>
      <c r="F37" s="3">
        <v>9989320450</v>
      </c>
      <c r="G37" s="3" t="s">
        <v>13</v>
      </c>
      <c r="H37" s="3" t="s">
        <v>101</v>
      </c>
      <c r="I37" s="3" t="s">
        <v>15</v>
      </c>
      <c r="J37" s="3" t="s">
        <v>13</v>
      </c>
      <c r="K37" s="3" t="s">
        <v>13</v>
      </c>
      <c r="L37" s="3" t="s">
        <v>225</v>
      </c>
      <c r="M37" s="3" t="s">
        <v>226</v>
      </c>
      <c r="N37" s="3" t="s">
        <v>13</v>
      </c>
      <c r="O37">
        <v>1</v>
      </c>
      <c r="R37">
        <v>200</v>
      </c>
      <c r="S37">
        <v>100</v>
      </c>
      <c r="U37" t="str">
        <f t="shared" si="1"/>
        <v>K R SAI KUMAR Your Unique Reference# 130584 Registration confirmed</v>
      </c>
      <c r="V37" s="11" t="s">
        <v>766</v>
      </c>
    </row>
    <row r="38" spans="1:22" x14ac:dyDescent="0.3">
      <c r="A38">
        <v>140442</v>
      </c>
      <c r="B38" s="2">
        <v>43047.9385993287</v>
      </c>
      <c r="C38" s="2" t="s">
        <v>651</v>
      </c>
      <c r="D38" s="3" t="s">
        <v>139</v>
      </c>
      <c r="E38" s="3">
        <v>1972</v>
      </c>
      <c r="F38" s="3">
        <v>9444409845</v>
      </c>
      <c r="G38" s="3" t="s">
        <v>13</v>
      </c>
      <c r="H38" s="3" t="s">
        <v>62</v>
      </c>
      <c r="I38" s="3" t="s">
        <v>141</v>
      </c>
      <c r="J38" s="3" t="s">
        <v>13</v>
      </c>
      <c r="K38" s="3" t="s">
        <v>13</v>
      </c>
      <c r="L38" s="3" t="s">
        <v>142</v>
      </c>
      <c r="M38" s="3" t="s">
        <v>59</v>
      </c>
      <c r="N38" s="3" t="s">
        <v>13</v>
      </c>
      <c r="O38">
        <v>2</v>
      </c>
      <c r="R38">
        <v>400</v>
      </c>
      <c r="S38">
        <v>100</v>
      </c>
      <c r="U38" t="str">
        <f t="shared" si="1"/>
        <v>K. PAUL JAYAKAR Your Unique Reference# 140442 Registration confirmed</v>
      </c>
      <c r="V38" s="11" t="s">
        <v>766</v>
      </c>
    </row>
    <row r="39" spans="1:22" x14ac:dyDescent="0.3">
      <c r="C39" s="4" t="s">
        <v>652</v>
      </c>
      <c r="D39" s="12" t="s">
        <v>770</v>
      </c>
      <c r="E39" s="12">
        <v>1972</v>
      </c>
      <c r="F39" s="12">
        <v>9841099954</v>
      </c>
      <c r="G39" s="4" t="s">
        <v>13</v>
      </c>
      <c r="H39">
        <v>1</v>
      </c>
      <c r="I39" s="4" t="s">
        <v>141</v>
      </c>
      <c r="J39" s="4" t="s">
        <v>13</v>
      </c>
      <c r="K39" s="4" t="s">
        <v>13</v>
      </c>
      <c r="N39" s="4" t="s">
        <v>13</v>
      </c>
      <c r="O39">
        <v>1</v>
      </c>
      <c r="Q39" s="7">
        <v>43065</v>
      </c>
      <c r="R39">
        <v>200</v>
      </c>
      <c r="S39">
        <v>100</v>
      </c>
      <c r="U39" t="str">
        <f t="shared" si="1"/>
        <v>Mr. C. S Rajan Your Unique Reference#  Registration confirmed</v>
      </c>
    </row>
    <row r="40" spans="1:22" x14ac:dyDescent="0.3">
      <c r="C40" s="4" t="s">
        <v>652</v>
      </c>
      <c r="D40" s="12" t="s">
        <v>768</v>
      </c>
      <c r="E40">
        <v>1972</v>
      </c>
      <c r="F40" s="12">
        <v>9989320450</v>
      </c>
      <c r="G40" s="4" t="s">
        <v>13</v>
      </c>
      <c r="H40">
        <v>1</v>
      </c>
      <c r="I40" s="4" t="s">
        <v>15</v>
      </c>
      <c r="J40" s="4" t="s">
        <v>13</v>
      </c>
      <c r="K40" s="4" t="s">
        <v>13</v>
      </c>
      <c r="N40" s="4" t="s">
        <v>13</v>
      </c>
      <c r="O40">
        <v>1</v>
      </c>
      <c r="Q40" s="7">
        <v>43065</v>
      </c>
      <c r="R40">
        <v>200</v>
      </c>
      <c r="S40">
        <v>100</v>
      </c>
      <c r="U40" t="str">
        <f t="shared" si="1"/>
        <v>Mr. K. R Saikumar Your Unique Reference#  Registration confirmed</v>
      </c>
    </row>
    <row r="41" spans="1:22" hidden="1" x14ac:dyDescent="0.3">
      <c r="C41" s="4" t="s">
        <v>652</v>
      </c>
      <c r="D41" s="12" t="s">
        <v>779</v>
      </c>
      <c r="E41" s="12">
        <v>1972</v>
      </c>
      <c r="F41" s="12">
        <v>9445393220</v>
      </c>
      <c r="G41" s="4" t="s">
        <v>13</v>
      </c>
      <c r="H41">
        <v>3</v>
      </c>
      <c r="I41" s="4" t="s">
        <v>141</v>
      </c>
      <c r="J41" s="4" t="s">
        <v>25</v>
      </c>
      <c r="K41" s="4" t="s">
        <v>25</v>
      </c>
      <c r="N41" s="4" t="s">
        <v>13</v>
      </c>
      <c r="O41">
        <v>2</v>
      </c>
      <c r="P41">
        <v>1</v>
      </c>
      <c r="Q41" s="7">
        <v>43065</v>
      </c>
      <c r="R41">
        <v>400</v>
      </c>
      <c r="S41">
        <v>100</v>
      </c>
      <c r="U41" t="str">
        <f t="shared" si="1"/>
        <v>Mr. M. Ravikumar Your Unique Reference#  Registration confirmed</v>
      </c>
    </row>
    <row r="42" spans="1:22" x14ac:dyDescent="0.3">
      <c r="C42" s="4" t="s">
        <v>652</v>
      </c>
      <c r="D42" s="12" t="s">
        <v>769</v>
      </c>
      <c r="E42" s="12">
        <v>1972</v>
      </c>
      <c r="F42" s="12">
        <v>9495633505</v>
      </c>
      <c r="G42" s="4" t="s">
        <v>13</v>
      </c>
      <c r="H42">
        <v>1</v>
      </c>
      <c r="I42" s="4" t="s">
        <v>15</v>
      </c>
      <c r="J42" s="4" t="s">
        <v>13</v>
      </c>
      <c r="K42" s="4" t="s">
        <v>13</v>
      </c>
      <c r="N42" s="4" t="s">
        <v>13</v>
      </c>
      <c r="O42">
        <v>1</v>
      </c>
      <c r="Q42" s="7">
        <v>43065</v>
      </c>
      <c r="R42">
        <v>200</v>
      </c>
      <c r="S42">
        <v>100</v>
      </c>
      <c r="U42" t="str">
        <f t="shared" si="1"/>
        <v>Mr. P. N Murali Your Unique Reference#  Registration confirmed</v>
      </c>
    </row>
    <row r="43" spans="1:22" hidden="1" x14ac:dyDescent="0.3">
      <c r="C43" s="4" t="s">
        <v>652</v>
      </c>
      <c r="D43" s="12" t="s">
        <v>774</v>
      </c>
      <c r="E43" s="12">
        <v>1972</v>
      </c>
      <c r="F43" s="12">
        <v>9444409845</v>
      </c>
      <c r="G43" s="4" t="s">
        <v>13</v>
      </c>
      <c r="H43">
        <v>1</v>
      </c>
      <c r="I43" s="4" t="s">
        <v>141</v>
      </c>
      <c r="J43" s="4" t="s">
        <v>25</v>
      </c>
      <c r="K43" s="4" t="s">
        <v>25</v>
      </c>
      <c r="N43" s="4" t="s">
        <v>13</v>
      </c>
      <c r="O43">
        <v>1</v>
      </c>
      <c r="Q43" s="7">
        <v>43065</v>
      </c>
      <c r="R43">
        <v>200</v>
      </c>
      <c r="U43" t="str">
        <f t="shared" si="1"/>
        <v>Mr. Paul jacob Your Unique Reference#  Registration confirmed</v>
      </c>
    </row>
    <row r="44" spans="1:22" hidden="1" x14ac:dyDescent="0.3">
      <c r="C44" s="4" t="s">
        <v>652</v>
      </c>
      <c r="D44" s="12" t="s">
        <v>772</v>
      </c>
      <c r="E44" s="12">
        <v>1972</v>
      </c>
      <c r="F44" s="12">
        <v>9841025996</v>
      </c>
      <c r="G44" s="4" t="s">
        <v>13</v>
      </c>
      <c r="H44">
        <v>1</v>
      </c>
      <c r="I44" s="4" t="s">
        <v>141</v>
      </c>
      <c r="J44" s="4" t="s">
        <v>25</v>
      </c>
      <c r="K44" s="4" t="s">
        <v>25</v>
      </c>
      <c r="N44" s="4" t="s">
        <v>13</v>
      </c>
      <c r="O44">
        <v>1</v>
      </c>
      <c r="Q44" s="7">
        <v>43065</v>
      </c>
      <c r="R44">
        <v>200</v>
      </c>
      <c r="S44">
        <v>100</v>
      </c>
      <c r="U44" t="str">
        <f t="shared" si="1"/>
        <v>Mr. Rajkumar Your Unique Reference#  Registration confirmed</v>
      </c>
    </row>
    <row r="45" spans="1:22" hidden="1" x14ac:dyDescent="0.3">
      <c r="C45" s="4" t="s">
        <v>652</v>
      </c>
      <c r="D45" s="12" t="s">
        <v>771</v>
      </c>
      <c r="E45" s="12">
        <v>1972</v>
      </c>
      <c r="F45" s="12">
        <v>9487417828</v>
      </c>
      <c r="G45" s="4" t="s">
        <v>13</v>
      </c>
      <c r="H45">
        <v>1</v>
      </c>
      <c r="I45" s="4" t="s">
        <v>793</v>
      </c>
      <c r="J45" s="4" t="s">
        <v>25</v>
      </c>
      <c r="K45" s="4" t="s">
        <v>25</v>
      </c>
      <c r="N45" s="4" t="s">
        <v>13</v>
      </c>
      <c r="O45">
        <v>1</v>
      </c>
      <c r="Q45" s="7">
        <v>43065</v>
      </c>
      <c r="R45">
        <v>200</v>
      </c>
      <c r="S45">
        <v>100</v>
      </c>
      <c r="U45" t="str">
        <f t="shared" si="1"/>
        <v>Ms. T. Padmini Your Unique Reference#  Registration confirmed</v>
      </c>
      <c r="V45" s="11" t="s">
        <v>766</v>
      </c>
    </row>
    <row r="46" spans="1:22" x14ac:dyDescent="0.3">
      <c r="A46">
        <v>122893</v>
      </c>
      <c r="B46" s="2">
        <v>43047.802054189815</v>
      </c>
      <c r="C46" s="2" t="s">
        <v>651</v>
      </c>
      <c r="D46" s="3" t="s">
        <v>90</v>
      </c>
      <c r="E46" s="3">
        <v>1972</v>
      </c>
      <c r="F46" s="3">
        <v>9487417828</v>
      </c>
      <c r="G46" s="3" t="s">
        <v>13</v>
      </c>
      <c r="H46" s="3" t="s">
        <v>92</v>
      </c>
      <c r="I46" s="3" t="s">
        <v>15</v>
      </c>
      <c r="J46" s="3" t="s">
        <v>13</v>
      </c>
      <c r="K46" s="3" t="s">
        <v>13</v>
      </c>
      <c r="L46" s="3" t="s">
        <v>93</v>
      </c>
      <c r="M46" s="3" t="s">
        <v>94</v>
      </c>
      <c r="N46" s="3" t="s">
        <v>13</v>
      </c>
      <c r="O46">
        <v>1</v>
      </c>
      <c r="R46">
        <v>200</v>
      </c>
      <c r="S46">
        <v>100</v>
      </c>
      <c r="U46" t="str">
        <f t="shared" si="1"/>
        <v>T  Padmini Your Unique Reference# 122893 Registration confirmed</v>
      </c>
    </row>
    <row r="47" spans="1:22" x14ac:dyDescent="0.3">
      <c r="A47">
        <v>131784</v>
      </c>
      <c r="C47" s="4" t="s">
        <v>652</v>
      </c>
      <c r="D47" t="s">
        <v>731</v>
      </c>
      <c r="E47">
        <v>1972</v>
      </c>
      <c r="G47" s="4" t="s">
        <v>13</v>
      </c>
      <c r="H47">
        <v>2</v>
      </c>
      <c r="I47" t="s">
        <v>15</v>
      </c>
      <c r="J47" t="s">
        <v>13</v>
      </c>
      <c r="K47" t="s">
        <v>13</v>
      </c>
      <c r="N47" s="4" t="s">
        <v>13</v>
      </c>
      <c r="O47">
        <v>2</v>
      </c>
      <c r="R47">
        <v>400</v>
      </c>
      <c r="S47">
        <v>100</v>
      </c>
      <c r="U47" t="str">
        <f t="shared" si="1"/>
        <v>Venkatramani Your Unique Reference# 131784 Registration confirmed</v>
      </c>
      <c r="V47" s="11" t="s">
        <v>766</v>
      </c>
    </row>
    <row r="48" spans="1:22" hidden="1" x14ac:dyDescent="0.3">
      <c r="A48">
        <v>110893</v>
      </c>
      <c r="B48" s="2">
        <v>43060.435696631946</v>
      </c>
      <c r="C48" s="2" t="s">
        <v>651</v>
      </c>
      <c r="D48" s="3" t="s">
        <v>429</v>
      </c>
      <c r="E48" s="3">
        <v>1973</v>
      </c>
      <c r="F48" s="3">
        <v>9840781107</v>
      </c>
      <c r="G48" s="3" t="s">
        <v>13</v>
      </c>
      <c r="H48" s="3">
        <v>1</v>
      </c>
      <c r="I48" s="3" t="s">
        <v>41</v>
      </c>
      <c r="J48" s="3" t="s">
        <v>25</v>
      </c>
      <c r="K48" s="3" t="s">
        <v>25</v>
      </c>
      <c r="L48" s="3" t="s">
        <v>431</v>
      </c>
      <c r="M48" s="3" t="s">
        <v>17</v>
      </c>
      <c r="N48" s="3" t="s">
        <v>13</v>
      </c>
      <c r="O48">
        <v>1</v>
      </c>
      <c r="R48">
        <v>200</v>
      </c>
      <c r="S48">
        <v>100</v>
      </c>
      <c r="U48" t="str">
        <f t="shared" si="1"/>
        <v>Gladstone Fernandez Your Unique Reference# 110893 Registration confirmed</v>
      </c>
      <c r="V48" s="11" t="s">
        <v>766</v>
      </c>
    </row>
    <row r="49" spans="1:22" hidden="1" x14ac:dyDescent="0.3">
      <c r="A49">
        <v>143700</v>
      </c>
      <c r="C49" s="4" t="s">
        <v>652</v>
      </c>
      <c r="D49" t="s">
        <v>737</v>
      </c>
      <c r="E49">
        <v>1973</v>
      </c>
      <c r="G49" s="4" t="s">
        <v>13</v>
      </c>
      <c r="H49">
        <v>1</v>
      </c>
      <c r="I49" t="s">
        <v>141</v>
      </c>
      <c r="J49" t="s">
        <v>25</v>
      </c>
      <c r="K49" t="s">
        <v>25</v>
      </c>
      <c r="N49" s="4" t="s">
        <v>13</v>
      </c>
      <c r="O49">
        <v>1</v>
      </c>
      <c r="R49">
        <v>200</v>
      </c>
      <c r="S49">
        <v>100</v>
      </c>
      <c r="U49" t="str">
        <f t="shared" si="1"/>
        <v>K.G.Jayakumar Your Unique Reference# 143700 Registration confirmed</v>
      </c>
    </row>
    <row r="50" spans="1:22" hidden="1" x14ac:dyDescent="0.3">
      <c r="A50">
        <v>180838</v>
      </c>
      <c r="C50" s="4" t="s">
        <v>652</v>
      </c>
      <c r="D50" t="s">
        <v>734</v>
      </c>
      <c r="E50">
        <v>1973</v>
      </c>
      <c r="G50" s="4" t="s">
        <v>13</v>
      </c>
      <c r="H50">
        <v>1</v>
      </c>
      <c r="I50" t="s">
        <v>141</v>
      </c>
      <c r="J50" t="s">
        <v>25</v>
      </c>
      <c r="K50" t="s">
        <v>25</v>
      </c>
      <c r="N50" s="4" t="s">
        <v>13</v>
      </c>
      <c r="O50">
        <v>1</v>
      </c>
      <c r="R50">
        <v>200</v>
      </c>
      <c r="S50">
        <v>100</v>
      </c>
      <c r="U50" t="str">
        <f t="shared" si="1"/>
        <v>M.Kumar Your Unique Reference# 180838 Registration confirmed</v>
      </c>
    </row>
    <row r="51" spans="1:22" hidden="1" x14ac:dyDescent="0.3">
      <c r="A51">
        <v>139419</v>
      </c>
      <c r="B51" t="s">
        <v>738</v>
      </c>
      <c r="C51" s="4" t="s">
        <v>652</v>
      </c>
      <c r="D51" t="s">
        <v>749</v>
      </c>
      <c r="E51">
        <v>1973</v>
      </c>
      <c r="F51">
        <v>9884245993</v>
      </c>
      <c r="G51" s="4" t="s">
        <v>13</v>
      </c>
      <c r="H51">
        <v>1</v>
      </c>
      <c r="I51" t="s">
        <v>141</v>
      </c>
      <c r="J51" t="s">
        <v>25</v>
      </c>
      <c r="K51" t="s">
        <v>25</v>
      </c>
      <c r="N51" s="4" t="s">
        <v>13</v>
      </c>
      <c r="O51">
        <v>1</v>
      </c>
      <c r="R51">
        <v>200</v>
      </c>
      <c r="S51">
        <v>100</v>
      </c>
      <c r="U51" t="str">
        <f t="shared" si="1"/>
        <v>Mr. Ravi Joseph Your Unique Reference# 139419 Registration confirmed</v>
      </c>
      <c r="V51" s="11" t="s">
        <v>766</v>
      </c>
    </row>
    <row r="52" spans="1:22" hidden="1" x14ac:dyDescent="0.3">
      <c r="A52">
        <v>182143</v>
      </c>
      <c r="C52" s="4" t="s">
        <v>652</v>
      </c>
      <c r="D52" t="s">
        <v>733</v>
      </c>
      <c r="E52">
        <v>1973</v>
      </c>
      <c r="G52" s="4" t="s">
        <v>13</v>
      </c>
      <c r="H52">
        <v>1</v>
      </c>
      <c r="I52" t="s">
        <v>141</v>
      </c>
      <c r="J52" t="s">
        <v>25</v>
      </c>
      <c r="K52" t="s">
        <v>25</v>
      </c>
      <c r="N52" s="4" t="s">
        <v>13</v>
      </c>
      <c r="O52">
        <v>1</v>
      </c>
      <c r="R52">
        <v>200</v>
      </c>
      <c r="S52">
        <v>100</v>
      </c>
      <c r="U52" t="str">
        <f t="shared" si="1"/>
        <v>N.G.Jayakumar Your Unique Reference# 182143 Registration confirmed</v>
      </c>
    </row>
    <row r="53" spans="1:22" x14ac:dyDescent="0.3">
      <c r="A53">
        <v>100987</v>
      </c>
      <c r="B53" s="2">
        <v>43047.841818807872</v>
      </c>
      <c r="C53" s="2" t="s">
        <v>651</v>
      </c>
      <c r="D53" s="3" t="s">
        <v>108</v>
      </c>
      <c r="E53" s="3">
        <v>1974</v>
      </c>
      <c r="F53" s="3">
        <v>9810076808</v>
      </c>
      <c r="G53" s="3" t="s">
        <v>13</v>
      </c>
      <c r="H53" s="3" t="s">
        <v>45</v>
      </c>
      <c r="I53" s="3" t="s">
        <v>110</v>
      </c>
      <c r="J53" s="3" t="s">
        <v>13</v>
      </c>
      <c r="K53" s="3" t="s">
        <v>13</v>
      </c>
      <c r="L53" s="3" t="s">
        <v>111</v>
      </c>
      <c r="M53" s="3" t="s">
        <v>112</v>
      </c>
      <c r="N53" s="3" t="s">
        <v>13</v>
      </c>
      <c r="O53">
        <v>1</v>
      </c>
      <c r="R53">
        <v>200</v>
      </c>
      <c r="S53">
        <v>100</v>
      </c>
      <c r="U53" t="str">
        <f t="shared" si="1"/>
        <v>Esther kar nee Samuel Your Unique Reference# 100987 Registration confirmed</v>
      </c>
      <c r="V53" s="11" t="s">
        <v>766</v>
      </c>
    </row>
    <row r="54" spans="1:22" hidden="1" x14ac:dyDescent="0.3">
      <c r="A54">
        <v>160096</v>
      </c>
      <c r="B54" t="s">
        <v>738</v>
      </c>
      <c r="C54" s="4" t="s">
        <v>652</v>
      </c>
      <c r="D54" t="s">
        <v>753</v>
      </c>
      <c r="E54">
        <v>1974</v>
      </c>
      <c r="F54">
        <v>9444010787</v>
      </c>
      <c r="G54" s="4" t="s">
        <v>13</v>
      </c>
      <c r="H54">
        <v>1</v>
      </c>
      <c r="I54" t="s">
        <v>141</v>
      </c>
      <c r="J54" t="s">
        <v>25</v>
      </c>
      <c r="K54" t="s">
        <v>25</v>
      </c>
      <c r="N54" s="4" t="s">
        <v>13</v>
      </c>
      <c r="O54">
        <v>1</v>
      </c>
      <c r="R54">
        <v>200</v>
      </c>
      <c r="S54">
        <v>100</v>
      </c>
      <c r="U54" t="str">
        <f t="shared" si="1"/>
        <v>Mukesh Mehta Your Unique Reference# 160096 Registration confirmed</v>
      </c>
    </row>
    <row r="55" spans="1:22" hidden="1" x14ac:dyDescent="0.3">
      <c r="A55">
        <v>106456</v>
      </c>
      <c r="B55" s="2">
        <v>43047.945890810181</v>
      </c>
      <c r="C55" s="2" t="s">
        <v>651</v>
      </c>
      <c r="D55" s="3" t="s">
        <v>143</v>
      </c>
      <c r="E55" s="3">
        <v>1974</v>
      </c>
      <c r="F55" s="3">
        <v>9841879318</v>
      </c>
      <c r="G55" s="3" t="s">
        <v>13</v>
      </c>
      <c r="H55" s="3" t="s">
        <v>144</v>
      </c>
      <c r="I55" s="3" t="s">
        <v>41</v>
      </c>
      <c r="J55" s="3" t="s">
        <v>13</v>
      </c>
      <c r="K55" s="3" t="s">
        <v>25</v>
      </c>
      <c r="L55" s="3" t="s">
        <v>145</v>
      </c>
      <c r="M55" s="3" t="s">
        <v>146</v>
      </c>
      <c r="N55" s="3" t="s">
        <v>13</v>
      </c>
      <c r="O55">
        <v>1</v>
      </c>
      <c r="R55">
        <v>200</v>
      </c>
      <c r="S55">
        <v>100</v>
      </c>
      <c r="U55" t="str">
        <f t="shared" si="1"/>
        <v>P.N. CHANDRAN Your Unique Reference# 106456 Registration confirmed</v>
      </c>
      <c r="V55" s="11" t="s">
        <v>766</v>
      </c>
    </row>
    <row r="56" spans="1:22" x14ac:dyDescent="0.3">
      <c r="A56">
        <v>129945</v>
      </c>
      <c r="B56" s="2">
        <v>43049.353750671296</v>
      </c>
      <c r="C56" s="2" t="s">
        <v>651</v>
      </c>
      <c r="D56" s="3" t="s">
        <v>253</v>
      </c>
      <c r="E56" s="3">
        <v>1974</v>
      </c>
      <c r="F56" s="3">
        <v>9444255322</v>
      </c>
      <c r="G56" s="3" t="s">
        <v>13</v>
      </c>
      <c r="H56" s="3" t="s">
        <v>92</v>
      </c>
      <c r="I56" s="3" t="s">
        <v>15</v>
      </c>
      <c r="J56" s="3" t="s">
        <v>13</v>
      </c>
      <c r="K56" s="3" t="s">
        <v>13</v>
      </c>
      <c r="L56" s="3" t="s">
        <v>255</v>
      </c>
      <c r="M56" s="3" t="s">
        <v>17</v>
      </c>
      <c r="N56" s="3" t="s">
        <v>13</v>
      </c>
      <c r="O56">
        <v>1</v>
      </c>
      <c r="R56">
        <v>200</v>
      </c>
      <c r="S56">
        <v>100</v>
      </c>
      <c r="U56" t="str">
        <f t="shared" si="1"/>
        <v>Premnath Sahadevan Your Unique Reference# 129945 Registration confirmed</v>
      </c>
      <c r="V56" s="11" t="s">
        <v>766</v>
      </c>
    </row>
    <row r="57" spans="1:22" hidden="1" x14ac:dyDescent="0.3">
      <c r="C57" s="4" t="s">
        <v>652</v>
      </c>
      <c r="D57" s="12" t="s">
        <v>782</v>
      </c>
      <c r="E57" s="12">
        <v>1975</v>
      </c>
      <c r="F57" s="12">
        <v>9444076305</v>
      </c>
      <c r="G57" s="4" t="s">
        <v>13</v>
      </c>
      <c r="H57">
        <v>1</v>
      </c>
      <c r="I57" s="4" t="s">
        <v>141</v>
      </c>
      <c r="J57" s="4" t="s">
        <v>25</v>
      </c>
      <c r="K57" s="4" t="s">
        <v>25</v>
      </c>
      <c r="N57" s="4" t="s">
        <v>13</v>
      </c>
      <c r="O57">
        <v>1</v>
      </c>
      <c r="Q57" s="7">
        <v>43065</v>
      </c>
      <c r="R57">
        <v>200</v>
      </c>
      <c r="S57">
        <v>100</v>
      </c>
      <c r="U57" t="str">
        <f t="shared" si="1"/>
        <v>Dr. Hemant Your Unique Reference#  Registration confirmed</v>
      </c>
    </row>
    <row r="58" spans="1:22" hidden="1" x14ac:dyDescent="0.3">
      <c r="C58" s="4" t="s">
        <v>652</v>
      </c>
      <c r="D58" s="12" t="s">
        <v>784</v>
      </c>
      <c r="E58" s="12">
        <v>1975</v>
      </c>
      <c r="F58" s="12"/>
      <c r="G58" s="4" t="s">
        <v>13</v>
      </c>
      <c r="H58">
        <v>3</v>
      </c>
      <c r="I58" s="4" t="s">
        <v>141</v>
      </c>
      <c r="J58" s="4" t="s">
        <v>25</v>
      </c>
      <c r="K58" s="4" t="s">
        <v>25</v>
      </c>
      <c r="N58" s="4" t="s">
        <v>13</v>
      </c>
      <c r="O58">
        <v>3</v>
      </c>
      <c r="Q58" s="7">
        <v>43065</v>
      </c>
      <c r="R58">
        <f>+O58*200</f>
        <v>600</v>
      </c>
      <c r="S58">
        <v>100</v>
      </c>
      <c r="U58" t="str">
        <f t="shared" si="1"/>
        <v>Mr Ramesh Your Unique Reference#  Registration confirmed</v>
      </c>
    </row>
    <row r="59" spans="1:22" x14ac:dyDescent="0.3">
      <c r="A59">
        <v>108323</v>
      </c>
      <c r="B59" s="2">
        <v>43060.621129305553</v>
      </c>
      <c r="C59" s="2" t="s">
        <v>651</v>
      </c>
      <c r="D59" s="3" t="s">
        <v>466</v>
      </c>
      <c r="E59" s="3">
        <v>1975</v>
      </c>
      <c r="F59" s="9">
        <v>9443227862</v>
      </c>
      <c r="G59" s="3" t="s">
        <v>13</v>
      </c>
      <c r="H59" s="3">
        <v>1</v>
      </c>
      <c r="I59" s="3" t="s">
        <v>15</v>
      </c>
      <c r="J59" s="3" t="s">
        <v>13</v>
      </c>
      <c r="K59" s="3" t="s">
        <v>13</v>
      </c>
      <c r="L59" s="3" t="s">
        <v>468</v>
      </c>
      <c r="M59" s="3" t="s">
        <v>469</v>
      </c>
      <c r="N59" s="3" t="s">
        <v>13</v>
      </c>
      <c r="O59">
        <v>1</v>
      </c>
      <c r="R59">
        <v>200</v>
      </c>
      <c r="S59">
        <v>100</v>
      </c>
      <c r="U59" t="str">
        <f t="shared" si="1"/>
        <v>Munir Alli Khan  Your Unique Reference# 108323 Registration confirmed</v>
      </c>
      <c r="V59" s="11" t="s">
        <v>766</v>
      </c>
    </row>
    <row r="60" spans="1:22" hidden="1" x14ac:dyDescent="0.3">
      <c r="A60">
        <v>145873</v>
      </c>
      <c r="C60" s="4" t="s">
        <v>652</v>
      </c>
      <c r="D60" t="s">
        <v>656</v>
      </c>
      <c r="E60">
        <v>1975</v>
      </c>
      <c r="F60">
        <v>9840453668</v>
      </c>
      <c r="G60" t="s">
        <v>13</v>
      </c>
      <c r="H60">
        <v>2</v>
      </c>
      <c r="I60" t="s">
        <v>682</v>
      </c>
      <c r="J60" t="s">
        <v>13</v>
      </c>
      <c r="K60" t="s">
        <v>25</v>
      </c>
      <c r="L60" s="6" t="s">
        <v>683</v>
      </c>
      <c r="M60" t="s">
        <v>684</v>
      </c>
      <c r="N60" t="s">
        <v>13</v>
      </c>
      <c r="O60">
        <v>2</v>
      </c>
      <c r="Q60" t="s">
        <v>694</v>
      </c>
      <c r="R60">
        <v>400</v>
      </c>
      <c r="S60">
        <v>100</v>
      </c>
      <c r="U60" t="str">
        <f t="shared" si="1"/>
        <v>NG Harikumar Your Unique Reference# 145873 Registration confirmed</v>
      </c>
    </row>
    <row r="61" spans="1:22" x14ac:dyDescent="0.3">
      <c r="A61">
        <v>185606</v>
      </c>
      <c r="B61" s="2">
        <v>43047.858618356477</v>
      </c>
      <c r="C61" s="2" t="s">
        <v>651</v>
      </c>
      <c r="D61" s="3" t="s">
        <v>124</v>
      </c>
      <c r="E61" s="3">
        <v>1975</v>
      </c>
      <c r="F61" s="3">
        <v>9841022628</v>
      </c>
      <c r="G61" s="3" t="s">
        <v>13</v>
      </c>
      <c r="H61" s="3" t="s">
        <v>125</v>
      </c>
      <c r="I61" s="3" t="s">
        <v>35</v>
      </c>
      <c r="J61" s="3" t="s">
        <v>13</v>
      </c>
      <c r="K61" s="3" t="s">
        <v>13</v>
      </c>
      <c r="L61" s="3" t="s">
        <v>126</v>
      </c>
      <c r="M61" s="3" t="s">
        <v>84</v>
      </c>
      <c r="N61" s="3" t="s">
        <v>13</v>
      </c>
      <c r="O61">
        <v>1</v>
      </c>
      <c r="R61">
        <v>200</v>
      </c>
      <c r="S61">
        <v>100</v>
      </c>
      <c r="U61" t="str">
        <f t="shared" si="1"/>
        <v>Ramesh  Your Unique Reference# 185606 Registration confirmed</v>
      </c>
      <c r="V61" s="11" t="s">
        <v>766</v>
      </c>
    </row>
    <row r="62" spans="1:22" hidden="1" x14ac:dyDescent="0.3">
      <c r="A62">
        <v>149618</v>
      </c>
      <c r="B62" t="s">
        <v>738</v>
      </c>
      <c r="C62" s="4" t="s">
        <v>652</v>
      </c>
      <c r="D62" t="s">
        <v>741</v>
      </c>
      <c r="E62">
        <v>1975</v>
      </c>
      <c r="F62">
        <v>7708410382</v>
      </c>
      <c r="G62" s="4" t="s">
        <v>13</v>
      </c>
      <c r="H62">
        <v>1</v>
      </c>
      <c r="I62" t="s">
        <v>141</v>
      </c>
      <c r="J62" t="s">
        <v>25</v>
      </c>
      <c r="K62" t="s">
        <v>25</v>
      </c>
      <c r="N62" s="4" t="s">
        <v>13</v>
      </c>
      <c r="O62">
        <v>1</v>
      </c>
      <c r="R62">
        <v>200</v>
      </c>
      <c r="S62">
        <v>100</v>
      </c>
      <c r="U62" t="str">
        <f t="shared" si="1"/>
        <v>Sheila Your Unique Reference# 149618 Registration confirmed</v>
      </c>
      <c r="V62" s="11" t="s">
        <v>766</v>
      </c>
    </row>
    <row r="63" spans="1:22" x14ac:dyDescent="0.3">
      <c r="A63">
        <v>114778</v>
      </c>
      <c r="B63" s="2">
        <v>43048.466382673607</v>
      </c>
      <c r="C63" s="2" t="s">
        <v>651</v>
      </c>
      <c r="D63" s="3" t="s">
        <v>198</v>
      </c>
      <c r="E63" s="3">
        <v>1975</v>
      </c>
      <c r="F63" s="3">
        <v>9940155235</v>
      </c>
      <c r="G63" s="3" t="s">
        <v>13</v>
      </c>
      <c r="H63" s="3" t="s">
        <v>101</v>
      </c>
      <c r="I63" s="3" t="s">
        <v>15</v>
      </c>
      <c r="J63" s="3" t="s">
        <v>13</v>
      </c>
      <c r="K63" s="3" t="s">
        <v>13</v>
      </c>
      <c r="L63" s="3" t="s">
        <v>200</v>
      </c>
      <c r="M63" s="3" t="s">
        <v>193</v>
      </c>
      <c r="N63" s="3" t="s">
        <v>13</v>
      </c>
      <c r="O63">
        <v>1</v>
      </c>
      <c r="R63">
        <v>200</v>
      </c>
      <c r="S63">
        <v>100</v>
      </c>
      <c r="U63" t="str">
        <f t="shared" si="1"/>
        <v>SUNIL NARVEKAR Your Unique Reference# 114778 Registration confirmed</v>
      </c>
    </row>
    <row r="64" spans="1:22" x14ac:dyDescent="0.3">
      <c r="A64">
        <v>182380</v>
      </c>
      <c r="C64" s="4" t="s">
        <v>652</v>
      </c>
      <c r="D64" s="4" t="s">
        <v>722</v>
      </c>
      <c r="E64">
        <v>1975</v>
      </c>
      <c r="G64" s="4" t="s">
        <v>13</v>
      </c>
      <c r="H64">
        <v>1</v>
      </c>
      <c r="I64" t="s">
        <v>141</v>
      </c>
      <c r="J64" t="s">
        <v>13</v>
      </c>
      <c r="K64" t="s">
        <v>13</v>
      </c>
      <c r="M64" t="s">
        <v>59</v>
      </c>
      <c r="N64" s="4" t="s">
        <v>13</v>
      </c>
      <c r="O64">
        <v>1</v>
      </c>
      <c r="R64">
        <v>200</v>
      </c>
      <c r="S64">
        <v>100</v>
      </c>
      <c r="U64" t="str">
        <f t="shared" si="1"/>
        <v>Sunil Narvekar Your Unique Reference# 182380 Registration confirmed</v>
      </c>
    </row>
    <row r="65" spans="1:22" x14ac:dyDescent="0.3">
      <c r="A65">
        <v>176712</v>
      </c>
      <c r="B65" s="2">
        <v>43050.49918392361</v>
      </c>
      <c r="C65" s="2" t="s">
        <v>651</v>
      </c>
      <c r="D65" s="3" t="s">
        <v>263</v>
      </c>
      <c r="E65" s="3">
        <v>1976</v>
      </c>
      <c r="F65" s="3">
        <v>9444132167</v>
      </c>
      <c r="G65" s="3" t="s">
        <v>13</v>
      </c>
      <c r="H65" s="3" t="s">
        <v>81</v>
      </c>
      <c r="I65" s="3" t="s">
        <v>41</v>
      </c>
      <c r="J65" s="3" t="s">
        <v>13</v>
      </c>
      <c r="K65" s="3" t="s">
        <v>13</v>
      </c>
      <c r="L65" s="3" t="s">
        <v>265</v>
      </c>
      <c r="M65" s="3" t="s">
        <v>17</v>
      </c>
      <c r="N65" s="3" t="s">
        <v>13</v>
      </c>
      <c r="O65">
        <v>2</v>
      </c>
      <c r="R65">
        <v>400</v>
      </c>
      <c r="S65">
        <v>100</v>
      </c>
      <c r="U65" t="str">
        <f t="shared" si="1"/>
        <v>Amudha Ebenezer Your Unique Reference# 176712 Registration confirmed</v>
      </c>
    </row>
    <row r="66" spans="1:22" x14ac:dyDescent="0.3">
      <c r="A66">
        <v>147390</v>
      </c>
      <c r="B66" s="2">
        <v>43050.782382372687</v>
      </c>
      <c r="C66" s="2" t="s">
        <v>651</v>
      </c>
      <c r="D66" s="3" t="s">
        <v>269</v>
      </c>
      <c r="E66" s="3">
        <v>1976</v>
      </c>
      <c r="F66" s="3">
        <v>9500071584</v>
      </c>
      <c r="G66" s="3" t="s">
        <v>13</v>
      </c>
      <c r="H66" s="3">
        <v>1</v>
      </c>
      <c r="I66" s="3" t="s">
        <v>15</v>
      </c>
      <c r="J66" s="3" t="s">
        <v>13</v>
      </c>
      <c r="K66" s="3" t="s">
        <v>13</v>
      </c>
      <c r="L66" s="3" t="s">
        <v>271</v>
      </c>
      <c r="M66" s="3" t="s">
        <v>59</v>
      </c>
      <c r="N66" s="3" t="s">
        <v>13</v>
      </c>
      <c r="O66">
        <v>1</v>
      </c>
      <c r="R66">
        <v>200</v>
      </c>
      <c r="S66">
        <v>100</v>
      </c>
      <c r="U66" t="str">
        <f t="shared" ref="U66:U97" si="2">CONCATENATE(D66," ","Your Unique Reference#"," ",A66," ","Registration confirmed")</f>
        <v>S.Chandra Your Unique Reference# 147390 Registration confirmed</v>
      </c>
    </row>
    <row r="67" spans="1:22" hidden="1" x14ac:dyDescent="0.3">
      <c r="A67">
        <v>174105</v>
      </c>
      <c r="C67" s="4" t="s">
        <v>652</v>
      </c>
      <c r="D67" s="4" t="s">
        <v>269</v>
      </c>
      <c r="E67">
        <v>1976</v>
      </c>
      <c r="G67" s="4" t="s">
        <v>13</v>
      </c>
      <c r="H67">
        <v>1</v>
      </c>
      <c r="I67" s="4" t="s">
        <v>15</v>
      </c>
      <c r="J67" s="4" t="s">
        <v>25</v>
      </c>
      <c r="K67" s="4" t="s">
        <v>25</v>
      </c>
      <c r="N67" s="4" t="s">
        <v>13</v>
      </c>
      <c r="O67">
        <v>1</v>
      </c>
      <c r="Q67" s="4" t="s">
        <v>696</v>
      </c>
      <c r="R67">
        <v>200</v>
      </c>
      <c r="S67">
        <v>100</v>
      </c>
      <c r="U67" t="str">
        <f t="shared" si="2"/>
        <v>S.Chandra Your Unique Reference# 174105 Registration confirmed</v>
      </c>
    </row>
    <row r="68" spans="1:22" x14ac:dyDescent="0.3">
      <c r="A68">
        <v>167387</v>
      </c>
      <c r="B68" s="2">
        <v>43060.319249490742</v>
      </c>
      <c r="C68" s="2" t="s">
        <v>651</v>
      </c>
      <c r="D68" s="3" t="s">
        <v>382</v>
      </c>
      <c r="E68" s="3">
        <v>1977</v>
      </c>
      <c r="F68" s="3">
        <v>9444201607</v>
      </c>
      <c r="G68" s="3" t="s">
        <v>13</v>
      </c>
      <c r="H68" s="3" t="s">
        <v>384</v>
      </c>
      <c r="I68" s="3" t="s">
        <v>385</v>
      </c>
      <c r="J68" s="3" t="s">
        <v>13</v>
      </c>
      <c r="K68" s="3" t="s">
        <v>13</v>
      </c>
      <c r="L68" s="3" t="s">
        <v>386</v>
      </c>
      <c r="M68" s="3" t="s">
        <v>226</v>
      </c>
      <c r="N68" s="3" t="s">
        <v>13</v>
      </c>
      <c r="O68">
        <v>2</v>
      </c>
      <c r="R68">
        <v>400</v>
      </c>
      <c r="S68">
        <v>100</v>
      </c>
      <c r="U68" t="str">
        <f t="shared" si="2"/>
        <v>Dr Sumathi  Your Unique Reference# 167387 Registration confirmed</v>
      </c>
    </row>
    <row r="69" spans="1:22" hidden="1" x14ac:dyDescent="0.3">
      <c r="C69" s="4" t="s">
        <v>652</v>
      </c>
      <c r="D69" s="9" t="s">
        <v>382</v>
      </c>
      <c r="E69" s="9">
        <v>1977</v>
      </c>
      <c r="F69" s="12"/>
      <c r="G69" s="4" t="s">
        <v>13</v>
      </c>
      <c r="H69">
        <v>2</v>
      </c>
      <c r="I69" s="4" t="s">
        <v>141</v>
      </c>
      <c r="J69" s="4" t="s">
        <v>25</v>
      </c>
      <c r="K69" s="4" t="s">
        <v>25</v>
      </c>
      <c r="N69" s="4" t="s">
        <v>13</v>
      </c>
      <c r="O69">
        <v>2</v>
      </c>
      <c r="Q69" s="7">
        <v>43065</v>
      </c>
      <c r="R69">
        <f>+O69*200</f>
        <v>400</v>
      </c>
      <c r="S69">
        <v>100</v>
      </c>
      <c r="U69" t="str">
        <f t="shared" si="2"/>
        <v>Dr Sumathi  Your Unique Reference#  Registration confirmed</v>
      </c>
    </row>
    <row r="70" spans="1:22" x14ac:dyDescent="0.3">
      <c r="A70">
        <v>124154</v>
      </c>
      <c r="B70" s="2">
        <v>43052.884442627314</v>
      </c>
      <c r="C70" s="2" t="s">
        <v>651</v>
      </c>
      <c r="D70" s="3" t="s">
        <v>305</v>
      </c>
      <c r="E70" s="3">
        <v>1977</v>
      </c>
      <c r="F70" s="3">
        <v>9444262028</v>
      </c>
      <c r="G70" s="3" t="s">
        <v>13</v>
      </c>
      <c r="H70" s="3" t="s">
        <v>307</v>
      </c>
      <c r="I70" s="3" t="s">
        <v>308</v>
      </c>
      <c r="J70" s="3" t="s">
        <v>13</v>
      </c>
      <c r="K70" s="3" t="s">
        <v>13</v>
      </c>
      <c r="L70" s="3" t="s">
        <v>309</v>
      </c>
      <c r="M70" s="3" t="s">
        <v>310</v>
      </c>
      <c r="N70" s="3" t="s">
        <v>13</v>
      </c>
      <c r="O70">
        <v>1</v>
      </c>
      <c r="R70">
        <v>200</v>
      </c>
      <c r="S70">
        <v>100</v>
      </c>
      <c r="U70" t="str">
        <f t="shared" si="2"/>
        <v>K.S.BHASKARAN Your Unique Reference# 124154 Registration confirmed</v>
      </c>
    </row>
    <row r="71" spans="1:22" x14ac:dyDescent="0.3">
      <c r="A71">
        <v>150339</v>
      </c>
      <c r="B71" s="2">
        <v>43060.892592997683</v>
      </c>
      <c r="C71" s="2" t="s">
        <v>651</v>
      </c>
      <c r="D71" s="3" t="s">
        <v>305</v>
      </c>
      <c r="E71" s="3">
        <v>1977</v>
      </c>
      <c r="F71" s="3">
        <v>9444262028</v>
      </c>
      <c r="G71" s="3" t="s">
        <v>13</v>
      </c>
      <c r="H71" s="3" t="s">
        <v>307</v>
      </c>
      <c r="I71" s="3" t="s">
        <v>308</v>
      </c>
      <c r="J71" s="3" t="s">
        <v>13</v>
      </c>
      <c r="K71" s="3" t="s">
        <v>13</v>
      </c>
      <c r="L71" s="3" t="s">
        <v>309</v>
      </c>
      <c r="M71" s="3" t="s">
        <v>481</v>
      </c>
      <c r="N71" s="3" t="s">
        <v>13</v>
      </c>
      <c r="O71">
        <v>1</v>
      </c>
      <c r="R71">
        <v>200</v>
      </c>
      <c r="S71">
        <v>100</v>
      </c>
      <c r="U71" t="str">
        <f t="shared" si="2"/>
        <v>K.S.BHASKARAN Your Unique Reference# 150339 Registration confirmed</v>
      </c>
    </row>
    <row r="72" spans="1:22" hidden="1" x14ac:dyDescent="0.3">
      <c r="C72" s="4" t="s">
        <v>652</v>
      </c>
      <c r="D72" s="12" t="s">
        <v>778</v>
      </c>
      <c r="E72" s="12">
        <v>1977</v>
      </c>
      <c r="F72" s="12">
        <v>9962163662</v>
      </c>
      <c r="G72" s="4" t="s">
        <v>13</v>
      </c>
      <c r="H72">
        <v>1</v>
      </c>
      <c r="I72" s="4" t="s">
        <v>141</v>
      </c>
      <c r="J72" s="4" t="s">
        <v>25</v>
      </c>
      <c r="K72" s="4" t="s">
        <v>25</v>
      </c>
      <c r="N72" s="4" t="s">
        <v>13</v>
      </c>
      <c r="O72">
        <v>1</v>
      </c>
      <c r="Q72" s="7">
        <v>43065</v>
      </c>
      <c r="R72">
        <v>200</v>
      </c>
      <c r="S72">
        <v>100</v>
      </c>
      <c r="U72" t="str">
        <f t="shared" si="2"/>
        <v>Mrs. Andrea Amudharajan Your Unique Reference#  Registration confirmed</v>
      </c>
    </row>
    <row r="73" spans="1:22" hidden="1" x14ac:dyDescent="0.3">
      <c r="C73" s="4" t="s">
        <v>652</v>
      </c>
      <c r="D73" s="12" t="s">
        <v>777</v>
      </c>
      <c r="E73" s="12">
        <v>1977</v>
      </c>
      <c r="F73" s="12">
        <v>9003111697</v>
      </c>
      <c r="G73" s="4" t="s">
        <v>13</v>
      </c>
      <c r="H73">
        <v>1</v>
      </c>
      <c r="I73" s="4" t="s">
        <v>141</v>
      </c>
      <c r="J73" s="4" t="s">
        <v>25</v>
      </c>
      <c r="K73" s="4" t="s">
        <v>25</v>
      </c>
      <c r="N73" s="4" t="s">
        <v>13</v>
      </c>
      <c r="O73">
        <v>1</v>
      </c>
      <c r="Q73" s="7">
        <v>43065</v>
      </c>
      <c r="R73">
        <v>200</v>
      </c>
      <c r="S73">
        <v>100</v>
      </c>
      <c r="U73" t="str">
        <f t="shared" si="2"/>
        <v>Ms. Paulette Peters Your Unique Reference#  Registration confirmed</v>
      </c>
    </row>
    <row r="74" spans="1:22" x14ac:dyDescent="0.3">
      <c r="A74">
        <v>183083</v>
      </c>
      <c r="B74" s="2">
        <v>43048.971371296298</v>
      </c>
      <c r="C74" s="2" t="s">
        <v>651</v>
      </c>
      <c r="D74" s="3" t="s">
        <v>248</v>
      </c>
      <c r="E74" s="3">
        <v>1977</v>
      </c>
      <c r="F74" s="3">
        <v>9840930111</v>
      </c>
      <c r="G74" s="3" t="s">
        <v>13</v>
      </c>
      <c r="H74" s="3" t="s">
        <v>250</v>
      </c>
      <c r="I74" s="3" t="s">
        <v>141</v>
      </c>
      <c r="J74" s="3" t="s">
        <v>13</v>
      </c>
      <c r="K74" s="3" t="s">
        <v>13</v>
      </c>
      <c r="L74" s="3" t="s">
        <v>251</v>
      </c>
      <c r="M74" s="3" t="s">
        <v>252</v>
      </c>
      <c r="N74" s="3" t="s">
        <v>13</v>
      </c>
      <c r="O74">
        <v>1</v>
      </c>
      <c r="R74">
        <v>200</v>
      </c>
      <c r="S74">
        <v>100</v>
      </c>
      <c r="U74" t="str">
        <f t="shared" si="2"/>
        <v>P J Mammen Your Unique Reference# 183083 Registration confirmed</v>
      </c>
    </row>
    <row r="75" spans="1:22" hidden="1" x14ac:dyDescent="0.3">
      <c r="A75">
        <v>148803</v>
      </c>
      <c r="B75" s="2">
        <v>43048.559830868056</v>
      </c>
      <c r="C75" s="2" t="s">
        <v>651</v>
      </c>
      <c r="D75" s="3" t="s">
        <v>215</v>
      </c>
      <c r="E75" s="3">
        <v>1977</v>
      </c>
      <c r="F75" s="3">
        <v>9840833270</v>
      </c>
      <c r="G75" s="3" t="s">
        <v>13</v>
      </c>
      <c r="H75" s="3">
        <v>1</v>
      </c>
      <c r="I75" s="3" t="s">
        <v>15</v>
      </c>
      <c r="J75" s="3" t="s">
        <v>13</v>
      </c>
      <c r="K75" s="3" t="s">
        <v>25</v>
      </c>
      <c r="L75" s="3" t="s">
        <v>217</v>
      </c>
      <c r="M75" s="3" t="s">
        <v>218</v>
      </c>
      <c r="N75" s="3" t="s">
        <v>13</v>
      </c>
      <c r="O75">
        <v>2</v>
      </c>
      <c r="R75">
        <v>400</v>
      </c>
      <c r="S75">
        <v>100</v>
      </c>
      <c r="U75" t="str">
        <f t="shared" si="2"/>
        <v>Rajesh R Shah Your Unique Reference# 148803 Registration confirmed</v>
      </c>
    </row>
    <row r="76" spans="1:22" x14ac:dyDescent="0.3">
      <c r="A76">
        <v>197800</v>
      </c>
      <c r="B76" s="2">
        <v>43060.539479837964</v>
      </c>
      <c r="C76" s="2" t="s">
        <v>651</v>
      </c>
      <c r="D76" s="3" t="s">
        <v>447</v>
      </c>
      <c r="E76" s="3">
        <v>1978</v>
      </c>
      <c r="F76" s="3">
        <v>9840044411</v>
      </c>
      <c r="G76" s="3" t="s">
        <v>13</v>
      </c>
      <c r="H76" s="3" t="s">
        <v>448</v>
      </c>
      <c r="I76" s="3" t="s">
        <v>449</v>
      </c>
      <c r="J76" s="3" t="s">
        <v>13</v>
      </c>
      <c r="K76" s="3" t="s">
        <v>13</v>
      </c>
      <c r="L76" s="3" t="s">
        <v>450</v>
      </c>
      <c r="M76" s="3" t="s">
        <v>451</v>
      </c>
      <c r="N76" s="3" t="s">
        <v>13</v>
      </c>
      <c r="O76">
        <v>1</v>
      </c>
      <c r="R76">
        <v>200</v>
      </c>
      <c r="S76">
        <v>100</v>
      </c>
      <c r="U76" t="str">
        <f t="shared" si="2"/>
        <v>A. S. Ishaq  Your Unique Reference# 197800 Registration confirmed</v>
      </c>
    </row>
    <row r="77" spans="1:22" hidden="1" x14ac:dyDescent="0.3">
      <c r="A77">
        <v>198805</v>
      </c>
      <c r="B77" t="s">
        <v>738</v>
      </c>
      <c r="C77" s="4" t="s">
        <v>652</v>
      </c>
      <c r="D77" t="s">
        <v>744</v>
      </c>
      <c r="E77">
        <v>1978</v>
      </c>
      <c r="F77">
        <v>9841064619</v>
      </c>
      <c r="G77" s="4" t="s">
        <v>13</v>
      </c>
      <c r="H77">
        <v>1</v>
      </c>
      <c r="I77" t="s">
        <v>141</v>
      </c>
      <c r="J77" t="s">
        <v>25</v>
      </c>
      <c r="K77" t="s">
        <v>25</v>
      </c>
      <c r="N77" s="4" t="s">
        <v>13</v>
      </c>
      <c r="O77">
        <v>1</v>
      </c>
      <c r="R77">
        <v>200</v>
      </c>
      <c r="S77">
        <v>100</v>
      </c>
      <c r="U77" t="str">
        <f t="shared" si="2"/>
        <v>I. Mohammed Salim Your Unique Reference# 198805 Registration confirmed</v>
      </c>
    </row>
    <row r="78" spans="1:22" x14ac:dyDescent="0.3">
      <c r="A78">
        <v>100354</v>
      </c>
      <c r="B78" s="2">
        <v>43060.523082129628</v>
      </c>
      <c r="C78" s="2" t="s">
        <v>651</v>
      </c>
      <c r="D78" s="3" t="s">
        <v>444</v>
      </c>
      <c r="E78" s="3">
        <v>1979</v>
      </c>
      <c r="F78" s="3">
        <v>612423532164</v>
      </c>
      <c r="G78" s="3" t="s">
        <v>13</v>
      </c>
      <c r="H78" s="3" t="s">
        <v>40</v>
      </c>
      <c r="I78" s="3" t="s">
        <v>141</v>
      </c>
      <c r="J78" s="3" t="s">
        <v>13</v>
      </c>
      <c r="K78" s="3" t="s">
        <v>13</v>
      </c>
      <c r="L78" s="3" t="s">
        <v>445</v>
      </c>
      <c r="M78" s="3" t="s">
        <v>446</v>
      </c>
      <c r="N78" s="3" t="s">
        <v>13</v>
      </c>
      <c r="O78">
        <v>1</v>
      </c>
      <c r="Q78" s="7">
        <v>42836</v>
      </c>
      <c r="R78">
        <v>200</v>
      </c>
      <c r="S78">
        <v>100</v>
      </c>
      <c r="U78" t="str">
        <f t="shared" si="2"/>
        <v>Ebenezer Paul Your Unique Reference# 100354 Registration confirmed</v>
      </c>
    </row>
    <row r="79" spans="1:22" x14ac:dyDescent="0.3">
      <c r="A79">
        <v>176910</v>
      </c>
      <c r="B79" s="2">
        <v>43060.907426331018</v>
      </c>
      <c r="C79" s="2" t="s">
        <v>651</v>
      </c>
      <c r="D79" s="3" t="s">
        <v>482</v>
      </c>
      <c r="E79" s="3">
        <v>1979</v>
      </c>
      <c r="F79" s="3">
        <v>9043995073</v>
      </c>
      <c r="G79" s="3" t="s">
        <v>13</v>
      </c>
      <c r="H79" s="3">
        <v>1</v>
      </c>
      <c r="I79" s="3" t="s">
        <v>484</v>
      </c>
      <c r="J79" s="3" t="s">
        <v>13</v>
      </c>
      <c r="K79" s="3" t="s">
        <v>13</v>
      </c>
      <c r="L79" s="3" t="s">
        <v>485</v>
      </c>
      <c r="M79" s="3" t="s">
        <v>486</v>
      </c>
      <c r="N79" s="3" t="s">
        <v>13</v>
      </c>
      <c r="O79">
        <v>1</v>
      </c>
      <c r="Q79" s="3" t="s">
        <v>723</v>
      </c>
      <c r="R79">
        <v>200</v>
      </c>
      <c r="S79">
        <v>100</v>
      </c>
      <c r="U79" t="str">
        <f t="shared" si="2"/>
        <v>Francis Muthiah Your Unique Reference# 176910 Registration confirmed</v>
      </c>
      <c r="V79" s="11" t="s">
        <v>766</v>
      </c>
    </row>
    <row r="80" spans="1:22" x14ac:dyDescent="0.3">
      <c r="A80">
        <v>147086</v>
      </c>
      <c r="B80" s="2">
        <v>43062.503401296301</v>
      </c>
      <c r="C80" s="2" t="s">
        <v>651</v>
      </c>
      <c r="D80" s="3" t="s">
        <v>566</v>
      </c>
      <c r="E80" s="3">
        <v>1979</v>
      </c>
      <c r="F80" s="3">
        <v>9840734137</v>
      </c>
      <c r="G80" s="3" t="s">
        <v>13</v>
      </c>
      <c r="H80" s="3">
        <v>1</v>
      </c>
      <c r="I80" s="3" t="s">
        <v>13</v>
      </c>
      <c r="J80" s="3" t="s">
        <v>13</v>
      </c>
      <c r="K80" s="3" t="s">
        <v>13</v>
      </c>
      <c r="L80" s="3" t="s">
        <v>567</v>
      </c>
      <c r="M80" s="3" t="s">
        <v>59</v>
      </c>
      <c r="N80" s="3" t="s">
        <v>13</v>
      </c>
      <c r="O80">
        <v>1</v>
      </c>
      <c r="Q80" s="3" t="s">
        <v>726</v>
      </c>
      <c r="R80">
        <v>200</v>
      </c>
      <c r="S80">
        <v>100</v>
      </c>
      <c r="U80" t="str">
        <f t="shared" si="2"/>
        <v>Hoori Your Unique Reference# 147086 Registration confirmed</v>
      </c>
    </row>
    <row r="81" spans="1:22" x14ac:dyDescent="0.3">
      <c r="A81">
        <v>100227</v>
      </c>
      <c r="B81" s="2">
        <v>43061.521258032408</v>
      </c>
      <c r="C81" s="2" t="s">
        <v>651</v>
      </c>
      <c r="D81" s="3" t="s">
        <v>536</v>
      </c>
      <c r="E81" s="3">
        <v>1979</v>
      </c>
      <c r="F81" s="3">
        <v>919840067489</v>
      </c>
      <c r="G81" s="3" t="s">
        <v>13</v>
      </c>
      <c r="H81" s="3" t="s">
        <v>537</v>
      </c>
      <c r="I81" s="3" t="s">
        <v>538</v>
      </c>
      <c r="J81" s="3" t="s">
        <v>13</v>
      </c>
      <c r="K81" s="3" t="s">
        <v>13</v>
      </c>
      <c r="L81" s="3" t="s">
        <v>535</v>
      </c>
      <c r="M81" s="3" t="s">
        <v>59</v>
      </c>
      <c r="N81" s="3" t="s">
        <v>13</v>
      </c>
      <c r="O81">
        <v>2</v>
      </c>
      <c r="Q81" s="3" t="s">
        <v>725</v>
      </c>
      <c r="R81">
        <v>400</v>
      </c>
      <c r="S81">
        <v>100</v>
      </c>
      <c r="U81" t="str">
        <f t="shared" si="2"/>
        <v>Jacob Suresh Your Unique Reference# 100227 Registration confirmed</v>
      </c>
      <c r="V81" s="11" t="s">
        <v>766</v>
      </c>
    </row>
    <row r="82" spans="1:22" hidden="1" x14ac:dyDescent="0.3">
      <c r="A82">
        <v>103924</v>
      </c>
      <c r="B82" t="s">
        <v>738</v>
      </c>
      <c r="C82" s="4" t="s">
        <v>652</v>
      </c>
      <c r="D82" t="s">
        <v>750</v>
      </c>
      <c r="E82">
        <v>1979</v>
      </c>
      <c r="F82">
        <v>9840682712</v>
      </c>
      <c r="G82" s="4" t="s">
        <v>13</v>
      </c>
      <c r="H82">
        <v>2</v>
      </c>
      <c r="I82" t="s">
        <v>756</v>
      </c>
      <c r="J82" t="s">
        <v>25</v>
      </c>
      <c r="K82" t="s">
        <v>25</v>
      </c>
      <c r="N82" s="4" t="s">
        <v>13</v>
      </c>
      <c r="O82">
        <v>2</v>
      </c>
      <c r="R82">
        <v>400</v>
      </c>
      <c r="S82">
        <v>100</v>
      </c>
      <c r="U82" t="str">
        <f t="shared" si="2"/>
        <v>Mrs. Lavanya Veena Your Unique Reference# 103924 Registration confirmed</v>
      </c>
      <c r="V82" s="11" t="s">
        <v>766</v>
      </c>
    </row>
    <row r="83" spans="1:22" x14ac:dyDescent="0.3">
      <c r="A83">
        <v>104280</v>
      </c>
      <c r="B83" s="2">
        <v>43064.507259143516</v>
      </c>
      <c r="C83" s="2" t="s">
        <v>651</v>
      </c>
      <c r="D83" s="3" t="s">
        <v>630</v>
      </c>
      <c r="E83" s="3">
        <v>1979</v>
      </c>
      <c r="F83" s="3">
        <v>9884084488</v>
      </c>
      <c r="G83" s="3" t="s">
        <v>13</v>
      </c>
      <c r="H83" s="3">
        <v>1</v>
      </c>
      <c r="I83" s="3" t="s">
        <v>13</v>
      </c>
      <c r="J83" s="3" t="s">
        <v>13</v>
      </c>
      <c r="K83" s="3" t="s">
        <v>13</v>
      </c>
      <c r="L83" s="3" t="s">
        <v>631</v>
      </c>
      <c r="M83" s="3" t="s">
        <v>59</v>
      </c>
      <c r="N83" s="3" t="s">
        <v>13</v>
      </c>
      <c r="O83">
        <v>1</v>
      </c>
      <c r="Q83" s="7">
        <v>42897</v>
      </c>
      <c r="R83">
        <v>200</v>
      </c>
      <c r="S83">
        <v>100</v>
      </c>
      <c r="U83" t="str">
        <f t="shared" si="2"/>
        <v>P Ravindran Your Unique Reference# 104280 Registration confirmed</v>
      </c>
    </row>
    <row r="84" spans="1:22" x14ac:dyDescent="0.3">
      <c r="A84">
        <v>170637</v>
      </c>
      <c r="B84" s="2">
        <v>43061.613164502312</v>
      </c>
      <c r="C84" s="2" t="s">
        <v>651</v>
      </c>
      <c r="D84" s="3" t="s">
        <v>549</v>
      </c>
      <c r="E84" s="3">
        <v>1979</v>
      </c>
      <c r="F84" s="3">
        <v>9841046489</v>
      </c>
      <c r="G84" s="3" t="s">
        <v>13</v>
      </c>
      <c r="H84" s="3" t="s">
        <v>550</v>
      </c>
      <c r="I84" s="3" t="s">
        <v>551</v>
      </c>
      <c r="J84" s="3" t="s">
        <v>13</v>
      </c>
      <c r="K84" s="3" t="s">
        <v>13</v>
      </c>
      <c r="L84" s="3" t="s">
        <v>552</v>
      </c>
      <c r="M84" s="3" t="s">
        <v>59</v>
      </c>
      <c r="N84" s="3" t="s">
        <v>13</v>
      </c>
      <c r="O84">
        <v>3</v>
      </c>
      <c r="Q84" s="7">
        <v>43019</v>
      </c>
      <c r="R84">
        <v>600</v>
      </c>
      <c r="S84">
        <v>100</v>
      </c>
      <c r="U84" t="str">
        <f t="shared" si="2"/>
        <v>R.Rajkumar Your Unique Reference# 170637 Registration confirmed</v>
      </c>
    </row>
    <row r="85" spans="1:22" x14ac:dyDescent="0.3">
      <c r="A85">
        <v>110202</v>
      </c>
      <c r="B85" s="2">
        <v>43061.088254340277</v>
      </c>
      <c r="C85" s="2" t="s">
        <v>651</v>
      </c>
      <c r="D85" s="3" t="s">
        <v>491</v>
      </c>
      <c r="E85" s="3">
        <v>1979</v>
      </c>
      <c r="F85" s="3">
        <v>9840723311</v>
      </c>
      <c r="G85" s="3" t="s">
        <v>13</v>
      </c>
      <c r="H85" s="3" t="s">
        <v>493</v>
      </c>
      <c r="I85" s="3" t="s">
        <v>41</v>
      </c>
      <c r="J85" s="3" t="s">
        <v>13</v>
      </c>
      <c r="K85" s="3" t="s">
        <v>13</v>
      </c>
      <c r="L85" s="3" t="s">
        <v>494</v>
      </c>
      <c r="M85" s="3" t="s">
        <v>59</v>
      </c>
      <c r="N85" s="3" t="s">
        <v>13</v>
      </c>
      <c r="O85">
        <v>1</v>
      </c>
      <c r="Q85" s="3" t="s">
        <v>724</v>
      </c>
      <c r="R85">
        <v>200</v>
      </c>
      <c r="S85">
        <v>100</v>
      </c>
      <c r="U85" t="str">
        <f t="shared" si="2"/>
        <v>RA. ANANDH Your Unique Reference# 110202 Registration confirmed</v>
      </c>
    </row>
    <row r="86" spans="1:22" x14ac:dyDescent="0.3">
      <c r="A86">
        <v>108326</v>
      </c>
      <c r="B86" s="2">
        <v>43061.645713090278</v>
      </c>
      <c r="C86" s="2" t="s">
        <v>651</v>
      </c>
      <c r="D86" s="3" t="s">
        <v>553</v>
      </c>
      <c r="E86" s="3">
        <v>1979</v>
      </c>
      <c r="F86" s="3" t="s">
        <v>554</v>
      </c>
      <c r="G86" s="3" t="s">
        <v>13</v>
      </c>
      <c r="H86" s="3" t="s">
        <v>555</v>
      </c>
      <c r="I86" s="3" t="s">
        <v>556</v>
      </c>
      <c r="J86" s="3" t="s">
        <v>13</v>
      </c>
      <c r="K86" s="3" t="s">
        <v>13</v>
      </c>
      <c r="L86" s="3" t="s">
        <v>557</v>
      </c>
      <c r="M86" s="3" t="s">
        <v>558</v>
      </c>
      <c r="N86" s="3" t="s">
        <v>13</v>
      </c>
      <c r="O86">
        <v>1</v>
      </c>
      <c r="Q86" s="3" t="s">
        <v>725</v>
      </c>
      <c r="R86">
        <v>200</v>
      </c>
      <c r="S86">
        <v>100</v>
      </c>
      <c r="U86" t="str">
        <f t="shared" si="2"/>
        <v>Rajkumar Immanuel Your Unique Reference# 108326 Registration confirmed</v>
      </c>
    </row>
    <row r="87" spans="1:22" hidden="1" x14ac:dyDescent="0.3">
      <c r="A87">
        <v>108929</v>
      </c>
      <c r="B87" s="2">
        <v>43060.438303680552</v>
      </c>
      <c r="C87" s="2" t="s">
        <v>651</v>
      </c>
      <c r="D87" s="3" t="s">
        <v>432</v>
      </c>
      <c r="E87" s="3">
        <v>1980</v>
      </c>
      <c r="F87" s="3">
        <v>9941486823</v>
      </c>
      <c r="G87" s="3" t="s">
        <v>13</v>
      </c>
      <c r="H87" s="3">
        <v>1</v>
      </c>
      <c r="I87" s="3" t="s">
        <v>41</v>
      </c>
      <c r="J87" s="3" t="s">
        <v>13</v>
      </c>
      <c r="K87" s="3" t="s">
        <v>25</v>
      </c>
      <c r="L87" s="3" t="s">
        <v>434</v>
      </c>
      <c r="M87" s="3" t="s">
        <v>176</v>
      </c>
      <c r="N87" s="3" t="s">
        <v>13</v>
      </c>
      <c r="O87">
        <v>1</v>
      </c>
      <c r="R87">
        <v>200</v>
      </c>
      <c r="S87">
        <v>100</v>
      </c>
      <c r="U87" t="str">
        <f t="shared" si="2"/>
        <v>Fabiola Vieyra Your Unique Reference# 108929 Registration confirmed</v>
      </c>
    </row>
    <row r="88" spans="1:22" hidden="1" x14ac:dyDescent="0.3">
      <c r="A88">
        <v>111639</v>
      </c>
      <c r="C88" s="4" t="s">
        <v>652</v>
      </c>
      <c r="D88" s="4" t="s">
        <v>665</v>
      </c>
      <c r="E88">
        <v>1980</v>
      </c>
      <c r="G88" s="4" t="s">
        <v>13</v>
      </c>
      <c r="H88">
        <v>1</v>
      </c>
      <c r="I88" t="s">
        <v>141</v>
      </c>
      <c r="J88" s="4" t="s">
        <v>25</v>
      </c>
      <c r="K88" s="4" t="s">
        <v>25</v>
      </c>
      <c r="N88" s="4" t="s">
        <v>13</v>
      </c>
      <c r="O88">
        <v>1</v>
      </c>
      <c r="Q88" s="4" t="s">
        <v>695</v>
      </c>
      <c r="R88">
        <v>200</v>
      </c>
      <c r="S88">
        <v>100</v>
      </c>
      <c r="U88" t="str">
        <f t="shared" si="2"/>
        <v>G.Ravindrababu Your Unique Reference# 111639 Registration confirmed</v>
      </c>
    </row>
    <row r="89" spans="1:22" x14ac:dyDescent="0.3">
      <c r="A89">
        <v>128233</v>
      </c>
      <c r="B89" s="2">
        <v>43061.438962581014</v>
      </c>
      <c r="C89" s="2" t="s">
        <v>651</v>
      </c>
      <c r="D89" s="3" t="s">
        <v>503</v>
      </c>
      <c r="E89" s="3">
        <v>1980</v>
      </c>
      <c r="F89" s="3">
        <v>9840039037</v>
      </c>
      <c r="G89" s="3" t="s">
        <v>13</v>
      </c>
      <c r="H89" s="3">
        <v>0</v>
      </c>
      <c r="I89" s="3" t="s">
        <v>141</v>
      </c>
      <c r="J89" s="3" t="s">
        <v>13</v>
      </c>
      <c r="K89" s="3" t="s">
        <v>13</v>
      </c>
      <c r="L89" s="3" t="s">
        <v>504</v>
      </c>
      <c r="M89" s="3" t="s">
        <v>59</v>
      </c>
      <c r="N89" s="3" t="s">
        <v>13</v>
      </c>
      <c r="O89">
        <v>1</v>
      </c>
      <c r="R89">
        <v>200</v>
      </c>
      <c r="S89">
        <v>100</v>
      </c>
      <c r="U89" t="str">
        <f t="shared" si="2"/>
        <v>P. Hamenth Kumar Your Unique Reference# 128233 Registration confirmed</v>
      </c>
    </row>
    <row r="90" spans="1:22" x14ac:dyDescent="0.3">
      <c r="A90">
        <v>117631</v>
      </c>
      <c r="B90" s="2">
        <v>43059.018535648152</v>
      </c>
      <c r="C90" s="2" t="s">
        <v>651</v>
      </c>
      <c r="D90" s="3" t="s">
        <v>365</v>
      </c>
      <c r="E90" s="3">
        <v>1980</v>
      </c>
      <c r="F90" s="3" t="s">
        <v>765</v>
      </c>
      <c r="G90" s="3" t="s">
        <v>13</v>
      </c>
      <c r="H90" s="3" t="s">
        <v>25</v>
      </c>
      <c r="I90" s="3" t="s">
        <v>153</v>
      </c>
      <c r="J90" s="3" t="s">
        <v>13</v>
      </c>
      <c r="K90" s="3" t="s">
        <v>13</v>
      </c>
      <c r="L90" s="3" t="s">
        <v>367</v>
      </c>
      <c r="M90" s="3" t="s">
        <v>368</v>
      </c>
      <c r="N90" s="3" t="s">
        <v>13</v>
      </c>
      <c r="O90">
        <v>1</v>
      </c>
      <c r="R90">
        <v>200</v>
      </c>
      <c r="S90">
        <v>100</v>
      </c>
      <c r="U90" t="str">
        <f t="shared" si="2"/>
        <v>P.V. Ramesh Your Unique Reference# 117631 Registration confirmed</v>
      </c>
    </row>
    <row r="91" spans="1:22" hidden="1" x14ac:dyDescent="0.3">
      <c r="A91">
        <v>121661</v>
      </c>
      <c r="C91" s="4" t="s">
        <v>652</v>
      </c>
      <c r="D91" s="4" t="s">
        <v>667</v>
      </c>
      <c r="E91">
        <v>1980</v>
      </c>
      <c r="G91" s="4" t="s">
        <v>13</v>
      </c>
      <c r="H91">
        <v>1</v>
      </c>
      <c r="I91" t="s">
        <v>141</v>
      </c>
      <c r="J91" s="4" t="s">
        <v>25</v>
      </c>
      <c r="K91" s="4" t="s">
        <v>25</v>
      </c>
      <c r="N91" s="4" t="s">
        <v>13</v>
      </c>
      <c r="O91">
        <v>1</v>
      </c>
      <c r="Q91" s="4" t="s">
        <v>695</v>
      </c>
      <c r="R91">
        <v>200</v>
      </c>
      <c r="S91">
        <v>100</v>
      </c>
      <c r="U91" t="str">
        <f t="shared" si="2"/>
        <v>Sheela Your Unique Reference# 121661 Registration confirmed</v>
      </c>
    </row>
    <row r="92" spans="1:22" x14ac:dyDescent="0.3">
      <c r="A92">
        <v>120428</v>
      </c>
      <c r="B92" s="2">
        <v>43051.747110046301</v>
      </c>
      <c r="C92" s="2" t="s">
        <v>651</v>
      </c>
      <c r="D92" s="3" t="s">
        <v>287</v>
      </c>
      <c r="E92" s="3">
        <v>1980</v>
      </c>
      <c r="F92" s="3">
        <v>9840327282</v>
      </c>
      <c r="G92" s="3" t="s">
        <v>13</v>
      </c>
      <c r="H92" s="3">
        <v>2</v>
      </c>
      <c r="I92" s="3" t="s">
        <v>289</v>
      </c>
      <c r="J92" s="3" t="s">
        <v>13</v>
      </c>
      <c r="K92" s="3" t="s">
        <v>13</v>
      </c>
      <c r="L92" s="3" t="s">
        <v>290</v>
      </c>
      <c r="M92" s="3" t="s">
        <v>59</v>
      </c>
      <c r="N92" s="3" t="s">
        <v>13</v>
      </c>
      <c r="O92">
        <v>2</v>
      </c>
      <c r="R92">
        <v>400</v>
      </c>
      <c r="S92">
        <v>100</v>
      </c>
      <c r="U92" t="str">
        <f t="shared" si="2"/>
        <v>Suchit Anant Palande Your Unique Reference# 120428 Registration confirmed</v>
      </c>
    </row>
    <row r="93" spans="1:22" x14ac:dyDescent="0.3">
      <c r="A93">
        <v>130814</v>
      </c>
      <c r="B93" s="2">
        <v>43047.771893831014</v>
      </c>
      <c r="C93" s="2" t="s">
        <v>651</v>
      </c>
      <c r="D93" s="3" t="s">
        <v>64</v>
      </c>
      <c r="E93" s="3">
        <v>1980</v>
      </c>
      <c r="F93" s="10" t="s">
        <v>65</v>
      </c>
      <c r="G93" s="3" t="s">
        <v>13</v>
      </c>
      <c r="H93" s="3" t="s">
        <v>66</v>
      </c>
      <c r="I93" s="3" t="s">
        <v>67</v>
      </c>
      <c r="J93" s="3" t="s">
        <v>13</v>
      </c>
      <c r="K93" s="3" t="s">
        <v>13</v>
      </c>
      <c r="L93" s="3" t="s">
        <v>68</v>
      </c>
      <c r="M93" s="3" t="s">
        <v>69</v>
      </c>
      <c r="N93" s="3" t="s">
        <v>13</v>
      </c>
      <c r="O93">
        <v>2</v>
      </c>
      <c r="R93">
        <v>400</v>
      </c>
      <c r="S93">
        <v>100</v>
      </c>
      <c r="U93" t="str">
        <f t="shared" si="2"/>
        <v>Vajiravelu Rajasekhar Your Unique Reference# 130814 Registration confirmed</v>
      </c>
    </row>
    <row r="94" spans="1:22" x14ac:dyDescent="0.3">
      <c r="A94">
        <v>164781</v>
      </c>
      <c r="B94" s="2">
        <v>43055.802225983796</v>
      </c>
      <c r="C94" s="2" t="s">
        <v>651</v>
      </c>
      <c r="D94" s="3" t="s">
        <v>333</v>
      </c>
      <c r="E94" s="3">
        <v>1980</v>
      </c>
      <c r="F94" s="3">
        <v>9677088991</v>
      </c>
      <c r="G94" s="3" t="s">
        <v>13</v>
      </c>
      <c r="H94" s="3" t="s">
        <v>250</v>
      </c>
      <c r="I94" s="3" t="s">
        <v>41</v>
      </c>
      <c r="J94" s="3" t="s">
        <v>13</v>
      </c>
      <c r="K94" s="3" t="s">
        <v>13</v>
      </c>
      <c r="L94" s="3" t="s">
        <v>335</v>
      </c>
      <c r="M94" s="3" t="s">
        <v>146</v>
      </c>
      <c r="N94" s="3" t="s">
        <v>13</v>
      </c>
      <c r="O94">
        <v>1</v>
      </c>
      <c r="R94">
        <v>200</v>
      </c>
      <c r="S94">
        <v>100</v>
      </c>
      <c r="U94" t="str">
        <f t="shared" si="2"/>
        <v>Velmani Veerannan Your Unique Reference# 164781 Registration confirmed</v>
      </c>
    </row>
    <row r="95" spans="1:22" x14ac:dyDescent="0.3">
      <c r="A95">
        <v>183758</v>
      </c>
      <c r="B95" s="2">
        <v>43048.480122928246</v>
      </c>
      <c r="C95" s="2" t="s">
        <v>651</v>
      </c>
      <c r="D95" s="3" t="s">
        <v>206</v>
      </c>
      <c r="E95" s="3">
        <v>1981</v>
      </c>
      <c r="F95" s="3">
        <v>9446971908</v>
      </c>
      <c r="G95" s="3" t="s">
        <v>13</v>
      </c>
      <c r="H95" s="3">
        <v>1</v>
      </c>
      <c r="I95" s="3" t="s">
        <v>35</v>
      </c>
      <c r="J95" s="3" t="s">
        <v>13</v>
      </c>
      <c r="K95" s="3" t="s">
        <v>13</v>
      </c>
      <c r="L95" s="3" t="s">
        <v>208</v>
      </c>
      <c r="M95" s="3" t="s">
        <v>209</v>
      </c>
      <c r="N95" s="3" t="s">
        <v>13</v>
      </c>
      <c r="O95">
        <v>1</v>
      </c>
      <c r="R95">
        <v>200</v>
      </c>
      <c r="S95">
        <v>100</v>
      </c>
      <c r="U95" t="str">
        <f t="shared" si="2"/>
        <v>Gigi Thomas Your Unique Reference# 183758 Registration confirmed</v>
      </c>
    </row>
    <row r="96" spans="1:22" x14ac:dyDescent="0.3">
      <c r="A96">
        <v>120416</v>
      </c>
      <c r="B96" s="2">
        <v>43060.414304618054</v>
      </c>
      <c r="C96" s="2" t="s">
        <v>651</v>
      </c>
      <c r="D96" s="3" t="s">
        <v>206</v>
      </c>
      <c r="E96" s="3">
        <v>1981</v>
      </c>
      <c r="F96" s="3">
        <v>9446971908</v>
      </c>
      <c r="G96" s="3" t="s">
        <v>13</v>
      </c>
      <c r="H96" s="3" t="s">
        <v>101</v>
      </c>
      <c r="I96" s="3" t="s">
        <v>41</v>
      </c>
      <c r="J96" s="3" t="s">
        <v>13</v>
      </c>
      <c r="K96" s="3" t="s">
        <v>13</v>
      </c>
      <c r="L96" s="3" t="s">
        <v>208</v>
      </c>
      <c r="M96" s="3" t="s">
        <v>209</v>
      </c>
      <c r="N96" s="3" t="s">
        <v>13</v>
      </c>
      <c r="O96">
        <v>1</v>
      </c>
      <c r="R96">
        <v>200</v>
      </c>
      <c r="S96">
        <v>100</v>
      </c>
      <c r="U96" t="str">
        <f t="shared" si="2"/>
        <v>Gigi Thomas Your Unique Reference# 120416 Registration confirmed</v>
      </c>
      <c r="V96" s="11" t="s">
        <v>766</v>
      </c>
    </row>
    <row r="97" spans="1:22" x14ac:dyDescent="0.3">
      <c r="A97">
        <v>151210</v>
      </c>
      <c r="B97" s="2">
        <v>43062.901742743052</v>
      </c>
      <c r="C97" s="2" t="s">
        <v>651</v>
      </c>
      <c r="D97" s="3" t="s">
        <v>584</v>
      </c>
      <c r="E97" s="3">
        <v>1981</v>
      </c>
      <c r="F97" s="3">
        <v>9444010647</v>
      </c>
      <c r="G97" s="3" t="s">
        <v>13</v>
      </c>
      <c r="H97" s="3" t="s">
        <v>250</v>
      </c>
      <c r="I97" s="3" t="s">
        <v>279</v>
      </c>
      <c r="J97" s="3" t="s">
        <v>13</v>
      </c>
      <c r="K97" s="3" t="s">
        <v>13</v>
      </c>
      <c r="L97" s="3" t="s">
        <v>585</v>
      </c>
      <c r="M97" s="3" t="s">
        <v>586</v>
      </c>
      <c r="N97" s="3" t="s">
        <v>13</v>
      </c>
      <c r="O97">
        <v>1</v>
      </c>
      <c r="R97">
        <v>200</v>
      </c>
      <c r="S97">
        <v>100</v>
      </c>
      <c r="U97" t="str">
        <f t="shared" si="2"/>
        <v>K.Suresh Babu Your Unique Reference# 151210 Registration confirmed</v>
      </c>
      <c r="V97" s="11" t="s">
        <v>766</v>
      </c>
    </row>
    <row r="98" spans="1:22" hidden="1" x14ac:dyDescent="0.3">
      <c r="A98">
        <v>179991</v>
      </c>
      <c r="C98" s="4" t="s">
        <v>652</v>
      </c>
      <c r="D98" s="4" t="s">
        <v>666</v>
      </c>
      <c r="E98">
        <v>1981</v>
      </c>
      <c r="G98" s="4" t="s">
        <v>13</v>
      </c>
      <c r="H98">
        <v>1</v>
      </c>
      <c r="I98" t="s">
        <v>141</v>
      </c>
      <c r="J98" s="4" t="s">
        <v>25</v>
      </c>
      <c r="K98" s="4" t="s">
        <v>25</v>
      </c>
      <c r="N98" s="4" t="s">
        <v>13</v>
      </c>
      <c r="O98">
        <v>1</v>
      </c>
      <c r="Q98" s="4" t="s">
        <v>695</v>
      </c>
      <c r="R98">
        <v>200</v>
      </c>
      <c r="S98">
        <v>100</v>
      </c>
      <c r="U98" t="str">
        <f t="shared" ref="U98:U125" si="3">CONCATENATE(D98," ","Your Unique Reference#"," ",A98," ","Registration confirmed")</f>
        <v>N.Ravindranath Your Unique Reference# 179991 Registration confirmed</v>
      </c>
    </row>
    <row r="99" spans="1:22" x14ac:dyDescent="0.3">
      <c r="A99">
        <v>102909</v>
      </c>
      <c r="B99" s="2">
        <v>43061.440845405094</v>
      </c>
      <c r="C99" s="2" t="s">
        <v>651</v>
      </c>
      <c r="D99" s="3" t="s">
        <v>505</v>
      </c>
      <c r="E99" s="3">
        <v>1982</v>
      </c>
      <c r="F99" s="3">
        <v>9677099881</v>
      </c>
      <c r="G99" s="3" t="s">
        <v>13</v>
      </c>
      <c r="H99" s="3">
        <v>0</v>
      </c>
      <c r="I99" s="3" t="s">
        <v>141</v>
      </c>
      <c r="J99" s="3" t="s">
        <v>13</v>
      </c>
      <c r="K99" s="3" t="s">
        <v>13</v>
      </c>
      <c r="L99" s="3" t="s">
        <v>293</v>
      </c>
      <c r="M99" s="3" t="s">
        <v>506</v>
      </c>
      <c r="N99" s="3" t="s">
        <v>13</v>
      </c>
      <c r="O99">
        <v>1</v>
      </c>
      <c r="R99">
        <v>200</v>
      </c>
      <c r="S99">
        <v>100</v>
      </c>
      <c r="U99" t="str">
        <f t="shared" si="3"/>
        <v>P. Mahendra Kumar Your Unique Reference# 102909 Registration confirmed</v>
      </c>
    </row>
    <row r="100" spans="1:22" hidden="1" x14ac:dyDescent="0.3">
      <c r="A100">
        <v>119291</v>
      </c>
      <c r="B100" t="s">
        <v>738</v>
      </c>
      <c r="C100" s="4" t="s">
        <v>652</v>
      </c>
      <c r="D100" t="s">
        <v>740</v>
      </c>
      <c r="E100">
        <v>1982</v>
      </c>
      <c r="F100">
        <v>9884484322</v>
      </c>
      <c r="G100" s="4" t="s">
        <v>13</v>
      </c>
      <c r="H100">
        <v>1</v>
      </c>
      <c r="I100" t="s">
        <v>141</v>
      </c>
      <c r="J100" t="s">
        <v>25</v>
      </c>
      <c r="K100" t="s">
        <v>25</v>
      </c>
      <c r="N100" s="4" t="s">
        <v>13</v>
      </c>
      <c r="O100">
        <v>1</v>
      </c>
      <c r="R100">
        <v>200</v>
      </c>
      <c r="S100">
        <v>100</v>
      </c>
      <c r="U100" t="str">
        <f t="shared" si="3"/>
        <v>Suin Kamer Your Unique Reference# 119291 Registration confirmed</v>
      </c>
      <c r="V100" s="11" t="s">
        <v>766</v>
      </c>
    </row>
    <row r="101" spans="1:22" hidden="1" x14ac:dyDescent="0.3">
      <c r="A101">
        <v>187679</v>
      </c>
      <c r="B101" s="2">
        <v>43061.356059317128</v>
      </c>
      <c r="C101" s="2" t="s">
        <v>651</v>
      </c>
      <c r="D101" s="3" t="s">
        <v>127</v>
      </c>
      <c r="E101" s="3">
        <v>1983</v>
      </c>
      <c r="F101" s="3">
        <v>9940197697</v>
      </c>
      <c r="G101" s="3" t="s">
        <v>13</v>
      </c>
      <c r="H101" s="3">
        <v>0</v>
      </c>
      <c r="I101" s="3" t="s">
        <v>496</v>
      </c>
      <c r="J101" s="3" t="s">
        <v>25</v>
      </c>
      <c r="K101" s="3" t="s">
        <v>25</v>
      </c>
      <c r="L101" s="3" t="s">
        <v>497</v>
      </c>
      <c r="M101" s="3" t="s">
        <v>59</v>
      </c>
      <c r="N101" s="3" t="s">
        <v>13</v>
      </c>
      <c r="O101">
        <v>1</v>
      </c>
      <c r="Q101" s="3" t="s">
        <v>738</v>
      </c>
      <c r="R101">
        <v>200</v>
      </c>
      <c r="S101">
        <v>100</v>
      </c>
      <c r="U101" t="str">
        <f t="shared" si="3"/>
        <v>Annie Rubens Your Unique Reference# 187679 Registration confirmed</v>
      </c>
    </row>
    <row r="102" spans="1:22" x14ac:dyDescent="0.3">
      <c r="A102">
        <v>119564</v>
      </c>
      <c r="B102" s="2">
        <v>43047.752563321759</v>
      </c>
      <c r="C102" s="2" t="s">
        <v>651</v>
      </c>
      <c r="D102" s="3" t="s">
        <v>18</v>
      </c>
      <c r="E102" s="3">
        <v>1983</v>
      </c>
      <c r="F102" s="10" t="s">
        <v>19</v>
      </c>
      <c r="G102" s="3" t="s">
        <v>13</v>
      </c>
      <c r="H102" s="3">
        <v>1</v>
      </c>
      <c r="I102" s="3" t="s">
        <v>20</v>
      </c>
      <c r="J102" s="3" t="s">
        <v>13</v>
      </c>
      <c r="K102" s="3" t="s">
        <v>13</v>
      </c>
      <c r="L102" s="3" t="s">
        <v>21</v>
      </c>
      <c r="M102" s="3" t="s">
        <v>22</v>
      </c>
      <c r="N102" s="3" t="s">
        <v>13</v>
      </c>
      <c r="O102">
        <v>1</v>
      </c>
      <c r="R102">
        <v>200</v>
      </c>
      <c r="S102">
        <v>100</v>
      </c>
      <c r="U102" t="str">
        <f t="shared" si="3"/>
        <v>James T Samuel Your Unique Reference# 119564 Registration confirmed</v>
      </c>
    </row>
    <row r="103" spans="1:22" hidden="1" x14ac:dyDescent="0.3">
      <c r="C103" s="4" t="s">
        <v>652</v>
      </c>
      <c r="D103" s="12" t="s">
        <v>775</v>
      </c>
      <c r="E103" s="12">
        <v>1983</v>
      </c>
      <c r="F103" s="12">
        <v>9042932102</v>
      </c>
      <c r="G103" s="4" t="s">
        <v>13</v>
      </c>
      <c r="H103">
        <v>1</v>
      </c>
      <c r="I103" s="4" t="s">
        <v>141</v>
      </c>
      <c r="J103" s="4" t="s">
        <v>25</v>
      </c>
      <c r="K103" s="4" t="s">
        <v>25</v>
      </c>
      <c r="N103" s="4" t="s">
        <v>13</v>
      </c>
      <c r="O103">
        <v>1</v>
      </c>
      <c r="Q103" s="7">
        <v>43065</v>
      </c>
      <c r="R103">
        <v>200</v>
      </c>
      <c r="S103">
        <v>100</v>
      </c>
      <c r="U103" t="str">
        <f t="shared" si="3"/>
        <v>Mrs. Esther Thompson Your Unique Reference#  Registration confirmed</v>
      </c>
    </row>
    <row r="104" spans="1:22" x14ac:dyDescent="0.3">
      <c r="A104">
        <v>172027</v>
      </c>
      <c r="B104" s="2">
        <v>43060.320962673606</v>
      </c>
      <c r="C104" s="2" t="s">
        <v>651</v>
      </c>
      <c r="D104" s="3" t="s">
        <v>391</v>
      </c>
      <c r="E104" s="3">
        <v>1983</v>
      </c>
      <c r="F104" s="3">
        <v>7200035395</v>
      </c>
      <c r="G104" s="3" t="s">
        <v>13</v>
      </c>
      <c r="H104" s="3" t="s">
        <v>250</v>
      </c>
      <c r="I104" s="3" t="s">
        <v>35</v>
      </c>
      <c r="J104" s="3" t="s">
        <v>13</v>
      </c>
      <c r="K104" s="3" t="s">
        <v>13</v>
      </c>
      <c r="L104" s="3" t="s">
        <v>393</v>
      </c>
      <c r="M104" s="3" t="s">
        <v>226</v>
      </c>
      <c r="N104" s="3" t="s">
        <v>13</v>
      </c>
      <c r="O104">
        <v>1</v>
      </c>
      <c r="R104">
        <v>200</v>
      </c>
      <c r="S104">
        <v>100</v>
      </c>
      <c r="U104" t="str">
        <f t="shared" si="3"/>
        <v>R.  Prasanna Your Unique Reference# 172027 Registration confirmed</v>
      </c>
    </row>
    <row r="105" spans="1:22" hidden="1" x14ac:dyDescent="0.3">
      <c r="A105">
        <v>115505</v>
      </c>
      <c r="B105" t="s">
        <v>738</v>
      </c>
      <c r="C105" s="4" t="s">
        <v>652</v>
      </c>
      <c r="D105" t="s">
        <v>752</v>
      </c>
      <c r="E105">
        <v>1984</v>
      </c>
      <c r="F105">
        <v>9884078601</v>
      </c>
      <c r="G105" s="4" t="s">
        <v>13</v>
      </c>
      <c r="H105">
        <v>1</v>
      </c>
      <c r="I105" t="s">
        <v>141</v>
      </c>
      <c r="J105" t="s">
        <v>25</v>
      </c>
      <c r="K105" t="s">
        <v>25</v>
      </c>
      <c r="N105" s="4" t="s">
        <v>13</v>
      </c>
      <c r="O105">
        <v>1</v>
      </c>
      <c r="R105">
        <v>200</v>
      </c>
      <c r="S105">
        <v>100</v>
      </c>
      <c r="U105" t="str">
        <f t="shared" si="3"/>
        <v>AR Sheriff Your Unique Reference# 115505 Registration confirmed</v>
      </c>
    </row>
    <row r="106" spans="1:22" hidden="1" x14ac:dyDescent="0.3">
      <c r="A106">
        <v>186060</v>
      </c>
      <c r="B106" t="s">
        <v>738</v>
      </c>
      <c r="C106" s="4" t="s">
        <v>652</v>
      </c>
      <c r="D106" t="s">
        <v>745</v>
      </c>
      <c r="E106">
        <v>1984</v>
      </c>
      <c r="F106">
        <v>9442119193</v>
      </c>
      <c r="G106" s="4" t="s">
        <v>13</v>
      </c>
      <c r="H106">
        <v>1</v>
      </c>
      <c r="I106" t="s">
        <v>141</v>
      </c>
      <c r="J106" t="s">
        <v>25</v>
      </c>
      <c r="K106" t="s">
        <v>25</v>
      </c>
      <c r="N106" s="4" t="s">
        <v>13</v>
      </c>
      <c r="O106">
        <v>1</v>
      </c>
      <c r="R106">
        <v>200</v>
      </c>
      <c r="S106">
        <v>100</v>
      </c>
      <c r="U106" t="str">
        <f t="shared" si="3"/>
        <v>D. Manikanda Ramesh Your Unique Reference# 186060 Registration confirmed</v>
      </c>
    </row>
    <row r="107" spans="1:22" x14ac:dyDescent="0.3">
      <c r="A107">
        <v>143359</v>
      </c>
      <c r="B107" s="2">
        <v>43061.442629351848</v>
      </c>
      <c r="C107" s="2" t="s">
        <v>651</v>
      </c>
      <c r="D107" s="3" t="s">
        <v>507</v>
      </c>
      <c r="E107" s="3">
        <v>1984</v>
      </c>
      <c r="F107" s="3">
        <v>9677099881</v>
      </c>
      <c r="G107" s="3" t="s">
        <v>13</v>
      </c>
      <c r="H107" s="3">
        <v>0</v>
      </c>
      <c r="I107" s="3" t="s">
        <v>141</v>
      </c>
      <c r="J107" s="3" t="s">
        <v>13</v>
      </c>
      <c r="K107" s="3" t="s">
        <v>13</v>
      </c>
      <c r="L107" s="3" t="s">
        <v>508</v>
      </c>
      <c r="M107" s="3" t="s">
        <v>509</v>
      </c>
      <c r="N107" s="3" t="s">
        <v>13</v>
      </c>
      <c r="O107">
        <v>1</v>
      </c>
      <c r="R107">
        <v>200</v>
      </c>
      <c r="S107">
        <v>100</v>
      </c>
      <c r="U107" t="str">
        <f t="shared" si="3"/>
        <v>P. Yeshwanth Kumar Your Unique Reference# 143359 Registration confirmed</v>
      </c>
      <c r="V107" s="11" t="s">
        <v>766</v>
      </c>
    </row>
    <row r="108" spans="1:22" x14ac:dyDescent="0.3">
      <c r="A108">
        <v>121153</v>
      </c>
      <c r="B108" s="7">
        <v>43050</v>
      </c>
      <c r="C108" s="4" t="s">
        <v>652</v>
      </c>
      <c r="D108" t="s">
        <v>728</v>
      </c>
      <c r="E108">
        <v>1985</v>
      </c>
      <c r="G108" s="4" t="s">
        <v>13</v>
      </c>
      <c r="H108">
        <v>1</v>
      </c>
      <c r="I108" t="s">
        <v>141</v>
      </c>
      <c r="J108" t="s">
        <v>13</v>
      </c>
      <c r="K108" t="s">
        <v>13</v>
      </c>
      <c r="N108" s="4" t="s">
        <v>13</v>
      </c>
      <c r="O108">
        <v>1</v>
      </c>
      <c r="R108">
        <v>200</v>
      </c>
      <c r="S108">
        <v>100</v>
      </c>
      <c r="U108" t="str">
        <f t="shared" si="3"/>
        <v>Anne Your Unique Reference# 121153 Registration confirmed</v>
      </c>
    </row>
    <row r="109" spans="1:22" x14ac:dyDescent="0.3">
      <c r="A109">
        <v>168972</v>
      </c>
      <c r="B109" s="7">
        <v>43050</v>
      </c>
      <c r="C109" s="4" t="s">
        <v>652</v>
      </c>
      <c r="D109" t="s">
        <v>709</v>
      </c>
      <c r="E109">
        <v>1985</v>
      </c>
      <c r="G109" s="4" t="s">
        <v>13</v>
      </c>
      <c r="H109">
        <v>1</v>
      </c>
      <c r="I109" t="s">
        <v>141</v>
      </c>
      <c r="J109" t="s">
        <v>13</v>
      </c>
      <c r="K109" t="s">
        <v>13</v>
      </c>
      <c r="N109" s="4" t="s">
        <v>13</v>
      </c>
      <c r="O109">
        <v>1</v>
      </c>
      <c r="R109">
        <v>200</v>
      </c>
      <c r="S109">
        <v>100</v>
      </c>
      <c r="U109" t="str">
        <f t="shared" si="3"/>
        <v>Ashok Your Unique Reference# 168972 Registration confirmed</v>
      </c>
      <c r="V109" s="11" t="s">
        <v>766</v>
      </c>
    </row>
    <row r="110" spans="1:22" x14ac:dyDescent="0.3">
      <c r="A110">
        <v>195426</v>
      </c>
      <c r="B110" s="2">
        <v>43053.593694189811</v>
      </c>
      <c r="C110" s="2" t="s">
        <v>651</v>
      </c>
      <c r="D110" s="3" t="s">
        <v>311</v>
      </c>
      <c r="E110" s="3">
        <v>1985</v>
      </c>
      <c r="F110" s="3">
        <v>9677111806</v>
      </c>
      <c r="G110" s="3" t="s">
        <v>13</v>
      </c>
      <c r="H110" s="3" t="s">
        <v>221</v>
      </c>
      <c r="I110" s="3" t="s">
        <v>35</v>
      </c>
      <c r="J110" s="3" t="s">
        <v>13</v>
      </c>
      <c r="K110" s="3" t="s">
        <v>13</v>
      </c>
      <c r="L110" s="3" t="s">
        <v>312</v>
      </c>
      <c r="M110" s="3" t="s">
        <v>313</v>
      </c>
      <c r="N110" s="3" t="s">
        <v>13</v>
      </c>
      <c r="O110">
        <v>1</v>
      </c>
      <c r="R110">
        <v>200</v>
      </c>
      <c r="S110">
        <v>100</v>
      </c>
      <c r="U110" t="str">
        <f t="shared" si="3"/>
        <v>Cecilia Fernandes Rischmann Your Unique Reference# 195426 Registration confirmed</v>
      </c>
    </row>
    <row r="111" spans="1:22" x14ac:dyDescent="0.3">
      <c r="A111">
        <v>164042</v>
      </c>
      <c r="B111" s="2">
        <v>43048.636558865735</v>
      </c>
      <c r="C111" s="2" t="s">
        <v>651</v>
      </c>
      <c r="D111" s="3" t="s">
        <v>219</v>
      </c>
      <c r="E111" s="3">
        <v>1985</v>
      </c>
      <c r="F111" s="3">
        <v>9444652222</v>
      </c>
      <c r="G111" s="3" t="s">
        <v>13</v>
      </c>
      <c r="H111" s="3" t="s">
        <v>221</v>
      </c>
      <c r="I111" s="3" t="s">
        <v>153</v>
      </c>
      <c r="J111" s="3" t="s">
        <v>13</v>
      </c>
      <c r="K111" s="3" t="s">
        <v>13</v>
      </c>
      <c r="L111" s="3" t="s">
        <v>222</v>
      </c>
      <c r="M111" s="3" t="s">
        <v>197</v>
      </c>
      <c r="N111" s="3" t="s">
        <v>13</v>
      </c>
      <c r="O111">
        <v>1</v>
      </c>
      <c r="R111">
        <v>200</v>
      </c>
      <c r="S111">
        <v>100</v>
      </c>
      <c r="U111" t="str">
        <f t="shared" si="3"/>
        <v>J.peter daniel Your Unique Reference# 164042 Registration confirmed</v>
      </c>
    </row>
    <row r="112" spans="1:22" x14ac:dyDescent="0.3">
      <c r="A112">
        <v>134953</v>
      </c>
      <c r="B112" s="7">
        <v>43050</v>
      </c>
      <c r="C112" s="4" t="s">
        <v>652</v>
      </c>
      <c r="D112" t="s">
        <v>727</v>
      </c>
      <c r="E112">
        <v>1985</v>
      </c>
      <c r="G112" s="4" t="s">
        <v>13</v>
      </c>
      <c r="H112">
        <v>1</v>
      </c>
      <c r="I112" t="s">
        <v>141</v>
      </c>
      <c r="J112" t="s">
        <v>13</v>
      </c>
      <c r="K112" t="s">
        <v>13</v>
      </c>
      <c r="N112" s="4" t="s">
        <v>13</v>
      </c>
      <c r="O112">
        <v>1</v>
      </c>
      <c r="R112">
        <v>200</v>
      </c>
      <c r="S112">
        <v>100</v>
      </c>
      <c r="U112" t="str">
        <f t="shared" si="3"/>
        <v>Peter Daniel Your Unique Reference# 134953 Registration confirmed</v>
      </c>
    </row>
    <row r="113" spans="1:22" x14ac:dyDescent="0.3">
      <c r="A113">
        <v>157833</v>
      </c>
      <c r="B113" s="7">
        <v>43050</v>
      </c>
      <c r="C113" s="4" t="s">
        <v>652</v>
      </c>
      <c r="D113" t="s">
        <v>729</v>
      </c>
      <c r="E113">
        <v>1985</v>
      </c>
      <c r="G113" s="4" t="s">
        <v>13</v>
      </c>
      <c r="H113">
        <v>1</v>
      </c>
      <c r="I113" t="s">
        <v>141</v>
      </c>
      <c r="J113" t="s">
        <v>13</v>
      </c>
      <c r="K113" t="s">
        <v>13</v>
      </c>
      <c r="N113" s="4" t="s">
        <v>13</v>
      </c>
      <c r="O113">
        <v>1</v>
      </c>
      <c r="R113">
        <v>200</v>
      </c>
      <c r="S113">
        <v>100</v>
      </c>
      <c r="U113" t="str">
        <f t="shared" si="3"/>
        <v>Sheeba Your Unique Reference# 157833 Registration confirmed</v>
      </c>
    </row>
    <row r="114" spans="1:22" hidden="1" x14ac:dyDescent="0.3">
      <c r="A114">
        <v>167478</v>
      </c>
      <c r="B114" s="2">
        <v>43060.618017696761</v>
      </c>
      <c r="C114" s="2" t="s">
        <v>651</v>
      </c>
      <c r="D114" s="3" t="s">
        <v>463</v>
      </c>
      <c r="E114" s="3">
        <v>1987</v>
      </c>
      <c r="F114" s="3">
        <v>9840795966</v>
      </c>
      <c r="G114" s="3" t="s">
        <v>13</v>
      </c>
      <c r="H114" s="3" t="s">
        <v>101</v>
      </c>
      <c r="I114" s="3" t="s">
        <v>35</v>
      </c>
      <c r="J114" s="3" t="s">
        <v>25</v>
      </c>
      <c r="K114" s="3" t="s">
        <v>25</v>
      </c>
      <c r="L114" s="3" t="s">
        <v>465</v>
      </c>
      <c r="M114" s="3" t="s">
        <v>59</v>
      </c>
      <c r="N114" s="3" t="s">
        <v>13</v>
      </c>
      <c r="O114">
        <v>1</v>
      </c>
      <c r="R114">
        <v>200</v>
      </c>
      <c r="S114">
        <v>100</v>
      </c>
      <c r="U114" t="str">
        <f t="shared" si="3"/>
        <v>Bobby sharma  Your Unique Reference# 167478 Registration confirmed</v>
      </c>
    </row>
    <row r="115" spans="1:22" hidden="1" x14ac:dyDescent="0.3">
      <c r="A115">
        <v>192407</v>
      </c>
      <c r="C115" s="4" t="s">
        <v>652</v>
      </c>
      <c r="D115" s="4" t="s">
        <v>670</v>
      </c>
      <c r="E115">
        <v>1987</v>
      </c>
      <c r="G115" s="4" t="s">
        <v>13</v>
      </c>
      <c r="H115">
        <v>1</v>
      </c>
      <c r="I115" t="s">
        <v>141</v>
      </c>
      <c r="J115" s="4" t="s">
        <v>25</v>
      </c>
      <c r="K115" s="4" t="s">
        <v>25</v>
      </c>
      <c r="N115" s="4" t="s">
        <v>13</v>
      </c>
      <c r="O115">
        <v>1</v>
      </c>
      <c r="Q115" s="4" t="s">
        <v>695</v>
      </c>
      <c r="R115">
        <v>200</v>
      </c>
      <c r="S115">
        <v>100</v>
      </c>
      <c r="U115" t="str">
        <f t="shared" si="3"/>
        <v>Geetha R Your Unique Reference# 192407 Registration confirmed</v>
      </c>
    </row>
    <row r="116" spans="1:22" hidden="1" x14ac:dyDescent="0.3">
      <c r="A116">
        <v>109530</v>
      </c>
      <c r="C116" s="4" t="s">
        <v>652</v>
      </c>
      <c r="D116" s="4" t="s">
        <v>671</v>
      </c>
      <c r="E116">
        <v>1987</v>
      </c>
      <c r="G116" s="4" t="s">
        <v>13</v>
      </c>
      <c r="H116">
        <v>1</v>
      </c>
      <c r="I116" t="s">
        <v>141</v>
      </c>
      <c r="J116" s="4" t="s">
        <v>25</v>
      </c>
      <c r="K116" s="4" t="s">
        <v>25</v>
      </c>
      <c r="N116" s="4" t="s">
        <v>13</v>
      </c>
      <c r="O116">
        <v>1</v>
      </c>
      <c r="Q116" s="4" t="s">
        <v>695</v>
      </c>
      <c r="R116">
        <v>200</v>
      </c>
      <c r="S116">
        <v>100</v>
      </c>
      <c r="U116" t="str">
        <f t="shared" si="3"/>
        <v>I. Zehara Jaben Your Unique Reference# 109530 Registration confirmed</v>
      </c>
    </row>
    <row r="117" spans="1:22" hidden="1" x14ac:dyDescent="0.3">
      <c r="A117">
        <v>158022</v>
      </c>
      <c r="C117" s="4" t="s">
        <v>652</v>
      </c>
      <c r="D117" s="4" t="s">
        <v>669</v>
      </c>
      <c r="E117">
        <v>1987</v>
      </c>
      <c r="G117" s="4" t="s">
        <v>13</v>
      </c>
      <c r="H117">
        <v>1</v>
      </c>
      <c r="I117" t="s">
        <v>141</v>
      </c>
      <c r="J117" s="4" t="s">
        <v>25</v>
      </c>
      <c r="K117" s="4" t="s">
        <v>25</v>
      </c>
      <c r="N117" s="4" t="s">
        <v>13</v>
      </c>
      <c r="O117">
        <v>1</v>
      </c>
      <c r="Q117" s="4" t="s">
        <v>695</v>
      </c>
      <c r="R117">
        <v>200</v>
      </c>
      <c r="S117">
        <v>100</v>
      </c>
      <c r="U117" t="str">
        <f t="shared" si="3"/>
        <v>Kevin William Albert Your Unique Reference# 158022 Registration confirmed</v>
      </c>
    </row>
    <row r="118" spans="1:22" hidden="1" x14ac:dyDescent="0.3">
      <c r="A118">
        <v>174497</v>
      </c>
      <c r="B118" s="2">
        <v>43061.356917303245</v>
      </c>
      <c r="C118" s="2" t="s">
        <v>651</v>
      </c>
      <c r="D118" s="3" t="s">
        <v>498</v>
      </c>
      <c r="E118" s="3">
        <v>1987</v>
      </c>
      <c r="F118" s="3">
        <v>9940197697</v>
      </c>
      <c r="G118" s="3" t="s">
        <v>13</v>
      </c>
      <c r="H118" s="3">
        <v>0</v>
      </c>
      <c r="I118" s="3" t="s">
        <v>41</v>
      </c>
      <c r="J118" s="3" t="s">
        <v>25</v>
      </c>
      <c r="K118" s="3" t="s">
        <v>25</v>
      </c>
      <c r="L118" s="3" t="s">
        <v>497</v>
      </c>
      <c r="M118" s="3" t="s">
        <v>205</v>
      </c>
      <c r="N118" s="3" t="s">
        <v>13</v>
      </c>
      <c r="O118">
        <v>1</v>
      </c>
      <c r="Q118" s="3" t="s">
        <v>738</v>
      </c>
      <c r="R118">
        <v>200</v>
      </c>
      <c r="S118">
        <v>100</v>
      </c>
      <c r="U118" t="str">
        <f t="shared" si="3"/>
        <v>Sherley Williams Your Unique Reference# 174497 Registration confirmed</v>
      </c>
    </row>
    <row r="119" spans="1:22" x14ac:dyDescent="0.3">
      <c r="A119">
        <v>116048</v>
      </c>
      <c r="B119" s="2">
        <v>43061.815782997684</v>
      </c>
      <c r="C119" s="2" t="s">
        <v>651</v>
      </c>
      <c r="D119" s="3" t="s">
        <v>560</v>
      </c>
      <c r="E119" s="3">
        <v>1988</v>
      </c>
      <c r="F119" s="3">
        <v>8939288166</v>
      </c>
      <c r="G119" s="3" t="s">
        <v>13</v>
      </c>
      <c r="H119" s="3">
        <v>2</v>
      </c>
      <c r="I119" s="3" t="s">
        <v>35</v>
      </c>
      <c r="J119" s="3" t="s">
        <v>13</v>
      </c>
      <c r="K119" s="3" t="s">
        <v>13</v>
      </c>
      <c r="L119" s="3">
        <v>1</v>
      </c>
      <c r="M119" s="3" t="s">
        <v>205</v>
      </c>
      <c r="N119" s="3" t="s">
        <v>13</v>
      </c>
      <c r="O119">
        <v>2</v>
      </c>
      <c r="R119">
        <v>400</v>
      </c>
      <c r="S119">
        <v>100</v>
      </c>
      <c r="U119" t="str">
        <f t="shared" si="3"/>
        <v>B Shiv kumaf Your Unique Reference# 116048 Registration confirmed</v>
      </c>
    </row>
    <row r="120" spans="1:22" x14ac:dyDescent="0.3">
      <c r="A120">
        <v>111785</v>
      </c>
      <c r="B120" s="2">
        <v>43060.429350474536</v>
      </c>
      <c r="C120" s="2" t="s">
        <v>651</v>
      </c>
      <c r="D120" s="3" t="s">
        <v>425</v>
      </c>
      <c r="E120" s="3">
        <v>1988</v>
      </c>
      <c r="F120" s="3">
        <v>9840993558</v>
      </c>
      <c r="G120" s="3" t="s">
        <v>13</v>
      </c>
      <c r="H120" s="3" t="s">
        <v>427</v>
      </c>
      <c r="I120" s="3" t="s">
        <v>141</v>
      </c>
      <c r="J120" s="3" t="s">
        <v>13</v>
      </c>
      <c r="K120" s="3" t="s">
        <v>13</v>
      </c>
      <c r="L120" s="3" t="s">
        <v>428</v>
      </c>
      <c r="M120" s="3" t="s">
        <v>59</v>
      </c>
      <c r="N120" s="3" t="s">
        <v>13</v>
      </c>
      <c r="O120">
        <v>1</v>
      </c>
      <c r="R120">
        <v>200</v>
      </c>
      <c r="S120">
        <v>100</v>
      </c>
      <c r="U120" t="str">
        <f t="shared" si="3"/>
        <v>C  Velayutham Your Unique Reference# 111785 Registration confirmed</v>
      </c>
      <c r="V120" s="11" t="s">
        <v>766</v>
      </c>
    </row>
    <row r="121" spans="1:22" x14ac:dyDescent="0.3">
      <c r="A121">
        <v>142875</v>
      </c>
      <c r="B121" s="2">
        <v>43047.763699016199</v>
      </c>
      <c r="C121" s="2" t="s">
        <v>651</v>
      </c>
      <c r="D121" s="3" t="s">
        <v>56</v>
      </c>
      <c r="E121" s="3">
        <v>1988</v>
      </c>
      <c r="F121" s="3">
        <v>9884078687</v>
      </c>
      <c r="G121" s="3" t="s">
        <v>13</v>
      </c>
      <c r="H121" s="3">
        <v>1</v>
      </c>
      <c r="I121" s="3" t="s">
        <v>41</v>
      </c>
      <c r="J121" s="3" t="s">
        <v>13</v>
      </c>
      <c r="K121" s="3" t="s">
        <v>13</v>
      </c>
      <c r="L121" s="3" t="s">
        <v>58</v>
      </c>
      <c r="M121" s="3" t="s">
        <v>59</v>
      </c>
      <c r="N121" s="3" t="s">
        <v>13</v>
      </c>
      <c r="O121">
        <v>1</v>
      </c>
      <c r="R121">
        <v>200</v>
      </c>
      <c r="S121">
        <v>100</v>
      </c>
      <c r="U121" t="str">
        <f t="shared" si="3"/>
        <v>Capt.Inayathulla Sharif Your Unique Reference# 142875 Registration confirmed</v>
      </c>
    </row>
    <row r="122" spans="1:22" x14ac:dyDescent="0.3">
      <c r="A122">
        <v>116266</v>
      </c>
      <c r="B122" s="2">
        <v>43060.323117407403</v>
      </c>
      <c r="C122" s="2" t="s">
        <v>651</v>
      </c>
      <c r="D122" s="3" t="s">
        <v>394</v>
      </c>
      <c r="E122" s="3">
        <v>1988</v>
      </c>
      <c r="F122" s="3">
        <v>7313592022</v>
      </c>
      <c r="G122" s="3" t="s">
        <v>13</v>
      </c>
      <c r="H122" s="3" t="s">
        <v>250</v>
      </c>
      <c r="I122" s="3" t="s">
        <v>396</v>
      </c>
      <c r="J122" s="3" t="s">
        <v>13</v>
      </c>
      <c r="K122" s="3" t="s">
        <v>13</v>
      </c>
      <c r="L122" s="3" t="s">
        <v>393</v>
      </c>
      <c r="M122" s="3" t="s">
        <v>226</v>
      </c>
      <c r="N122" s="3" t="s">
        <v>13</v>
      </c>
      <c r="O122">
        <v>1</v>
      </c>
      <c r="R122">
        <v>200</v>
      </c>
      <c r="S122">
        <v>100</v>
      </c>
      <c r="U122" t="str">
        <f t="shared" si="3"/>
        <v>David Your Unique Reference# 116266 Registration confirmed</v>
      </c>
    </row>
    <row r="123" spans="1:22" x14ac:dyDescent="0.3">
      <c r="A123">
        <v>135404</v>
      </c>
      <c r="B123" s="2">
        <v>43054.666877418982</v>
      </c>
      <c r="C123" s="2" t="s">
        <v>651</v>
      </c>
      <c r="D123" s="3" t="s">
        <v>321</v>
      </c>
      <c r="E123" s="3">
        <v>1988</v>
      </c>
      <c r="F123" s="3">
        <v>9962565384</v>
      </c>
      <c r="G123" s="3" t="s">
        <v>13</v>
      </c>
      <c r="H123" s="3" t="s">
        <v>323</v>
      </c>
      <c r="I123" s="3" t="s">
        <v>15</v>
      </c>
      <c r="J123" s="3" t="s">
        <v>13</v>
      </c>
      <c r="K123" s="3" t="s">
        <v>13</v>
      </c>
      <c r="L123" s="3" t="s">
        <v>324</v>
      </c>
      <c r="M123" s="3" t="s">
        <v>59</v>
      </c>
      <c r="N123" s="3" t="s">
        <v>13</v>
      </c>
      <c r="O123">
        <v>2</v>
      </c>
      <c r="R123">
        <v>400</v>
      </c>
      <c r="S123">
        <v>100</v>
      </c>
      <c r="U123" t="str">
        <f t="shared" si="3"/>
        <v>Dr. R. Saktheeswari Your Unique Reference# 135404 Registration confirmed</v>
      </c>
    </row>
    <row r="124" spans="1:22" hidden="1" x14ac:dyDescent="0.3">
      <c r="A124">
        <v>103890</v>
      </c>
      <c r="B124" t="s">
        <v>738</v>
      </c>
      <c r="C124" s="4" t="s">
        <v>652</v>
      </c>
      <c r="D124" t="s">
        <v>754</v>
      </c>
      <c r="E124">
        <v>1988</v>
      </c>
      <c r="F124">
        <v>9962565384</v>
      </c>
      <c r="G124" s="4" t="s">
        <v>13</v>
      </c>
      <c r="H124">
        <v>2</v>
      </c>
      <c r="I124" t="s">
        <v>141</v>
      </c>
      <c r="J124" t="s">
        <v>25</v>
      </c>
      <c r="K124" t="s">
        <v>25</v>
      </c>
      <c r="N124" t="s">
        <v>13</v>
      </c>
      <c r="O124">
        <v>2</v>
      </c>
      <c r="R124">
        <v>400</v>
      </c>
      <c r="S124">
        <v>100</v>
      </c>
      <c r="U124" t="str">
        <f t="shared" si="3"/>
        <v>Dr. Saktheeswari Your Unique Reference# 103890 Registration confirmed</v>
      </c>
    </row>
    <row r="125" spans="1:22" x14ac:dyDescent="0.3">
      <c r="A125">
        <v>107734</v>
      </c>
      <c r="B125" s="2">
        <v>43061.602686168982</v>
      </c>
      <c r="C125" s="2" t="s">
        <v>651</v>
      </c>
      <c r="D125" s="3" t="s">
        <v>542</v>
      </c>
      <c r="E125" s="3">
        <v>1988</v>
      </c>
      <c r="F125" s="3">
        <v>9840031390</v>
      </c>
      <c r="G125" s="3" t="s">
        <v>13</v>
      </c>
      <c r="H125" s="3">
        <v>1</v>
      </c>
      <c r="I125" s="3" t="s">
        <v>35</v>
      </c>
      <c r="J125" s="3" t="s">
        <v>13</v>
      </c>
      <c r="K125" s="3" t="s">
        <v>13</v>
      </c>
      <c r="L125" s="3" t="s">
        <v>544</v>
      </c>
      <c r="M125" s="3" t="s">
        <v>205</v>
      </c>
      <c r="N125" s="3" t="s">
        <v>13</v>
      </c>
      <c r="O125">
        <v>1</v>
      </c>
      <c r="R125">
        <v>200</v>
      </c>
      <c r="S125">
        <v>100</v>
      </c>
      <c r="U125" t="str">
        <f t="shared" si="3"/>
        <v>Faheem Ahmed Your Unique Reference# 107734 Registration confirmed</v>
      </c>
    </row>
    <row r="126" spans="1:22" x14ac:dyDescent="0.3">
      <c r="A126">
        <v>137236</v>
      </c>
      <c r="B126" s="2">
        <v>43060.517372407412</v>
      </c>
      <c r="C126" s="2" t="s">
        <v>651</v>
      </c>
      <c r="D126" s="3" t="s">
        <v>440</v>
      </c>
      <c r="E126" s="3">
        <v>1988</v>
      </c>
      <c r="F126" s="3">
        <v>9940672001</v>
      </c>
      <c r="G126" s="3" t="s">
        <v>13</v>
      </c>
      <c r="H126" s="3" t="s">
        <v>442</v>
      </c>
      <c r="I126" s="3" t="s">
        <v>41</v>
      </c>
      <c r="J126" s="3" t="s">
        <v>13</v>
      </c>
      <c r="K126" s="3" t="s">
        <v>13</v>
      </c>
      <c r="L126" s="3" t="s">
        <v>443</v>
      </c>
      <c r="M126" s="3" t="s">
        <v>176</v>
      </c>
      <c r="N126" s="3" t="s">
        <v>13</v>
      </c>
      <c r="O126">
        <v>1</v>
      </c>
      <c r="P126">
        <v>1</v>
      </c>
      <c r="R126">
        <v>200</v>
      </c>
      <c r="S126">
        <v>100</v>
      </c>
    </row>
    <row r="127" spans="1:22" x14ac:dyDescent="0.3">
      <c r="A127">
        <v>164706</v>
      </c>
      <c r="B127" s="2">
        <v>43047.970304965274</v>
      </c>
      <c r="C127" s="2" t="s">
        <v>651</v>
      </c>
      <c r="D127" s="3" t="s">
        <v>147</v>
      </c>
      <c r="E127" s="3">
        <v>1988</v>
      </c>
      <c r="F127" s="10" t="s">
        <v>148</v>
      </c>
      <c r="G127" s="3" t="s">
        <v>13</v>
      </c>
      <c r="H127" s="3">
        <v>1</v>
      </c>
      <c r="I127" s="3" t="s">
        <v>41</v>
      </c>
      <c r="J127" s="3" t="s">
        <v>13</v>
      </c>
      <c r="K127" s="3" t="s">
        <v>13</v>
      </c>
      <c r="L127" s="3" t="s">
        <v>149</v>
      </c>
      <c r="M127" s="3" t="s">
        <v>150</v>
      </c>
      <c r="N127" s="3" t="s">
        <v>13</v>
      </c>
      <c r="O127">
        <v>1</v>
      </c>
      <c r="R127">
        <v>200</v>
      </c>
      <c r="S127">
        <v>100</v>
      </c>
      <c r="U127" t="str">
        <f>CONCATENATE(D127," ","Your Unique Reference#"," ",A127," ","Registration confirmed")</f>
        <v>Geoji Thomas Your Unique Reference# 164706 Registration confirmed</v>
      </c>
    </row>
    <row r="128" spans="1:22" hidden="1" x14ac:dyDescent="0.3">
      <c r="A128">
        <v>197894</v>
      </c>
      <c r="C128" s="4" t="s">
        <v>652</v>
      </c>
      <c r="D128" s="4" t="s">
        <v>668</v>
      </c>
      <c r="E128">
        <v>1988</v>
      </c>
      <c r="G128" s="4" t="s">
        <v>13</v>
      </c>
      <c r="H128">
        <v>1</v>
      </c>
      <c r="I128" t="s">
        <v>141</v>
      </c>
      <c r="J128" s="4" t="s">
        <v>25</v>
      </c>
      <c r="K128" s="4" t="s">
        <v>25</v>
      </c>
      <c r="N128" s="4" t="s">
        <v>13</v>
      </c>
      <c r="O128">
        <v>1</v>
      </c>
      <c r="Q128" s="4" t="s">
        <v>695</v>
      </c>
      <c r="R128">
        <v>200</v>
      </c>
      <c r="S128">
        <v>100</v>
      </c>
      <c r="U128" t="str">
        <f>CONCATENATE(D128," ","Your Unique Reference#"," ",A128," ","Registration confirmed")</f>
        <v>Gladstone West Your Unique Reference# 197894 Registration confirmed</v>
      </c>
    </row>
    <row r="129" spans="1:21" hidden="1" x14ac:dyDescent="0.3">
      <c r="A129">
        <v>136997</v>
      </c>
      <c r="B129" t="s">
        <v>738</v>
      </c>
      <c r="C129" s="4" t="s">
        <v>652</v>
      </c>
      <c r="D129" t="s">
        <v>751</v>
      </c>
      <c r="E129">
        <v>1988</v>
      </c>
      <c r="F129">
        <v>9884078687</v>
      </c>
      <c r="G129" s="4" t="s">
        <v>13</v>
      </c>
      <c r="H129">
        <v>1</v>
      </c>
      <c r="I129" t="s">
        <v>141</v>
      </c>
      <c r="J129" t="s">
        <v>25</v>
      </c>
      <c r="K129" t="s">
        <v>25</v>
      </c>
      <c r="N129" s="4" t="s">
        <v>13</v>
      </c>
      <c r="O129">
        <v>1</v>
      </c>
      <c r="R129">
        <v>200</v>
      </c>
      <c r="S129">
        <v>100</v>
      </c>
      <c r="U129" t="str">
        <f>CONCATENATE(D129," ","Your Unique Reference#"," ",A129," ","Registration confirmed")</f>
        <v>Juayathullah Sheriff Your Unique Reference# 136997 Registration confirmed</v>
      </c>
    </row>
    <row r="130" spans="1:21" x14ac:dyDescent="0.3">
      <c r="A130">
        <v>133941</v>
      </c>
      <c r="B130" s="2">
        <v>43060.843803194446</v>
      </c>
      <c r="C130" s="2" t="s">
        <v>651</v>
      </c>
      <c r="D130" s="3" t="s">
        <v>478</v>
      </c>
      <c r="E130" s="3">
        <v>1988</v>
      </c>
      <c r="F130" s="3">
        <v>9962078637</v>
      </c>
      <c r="G130" s="3" t="s">
        <v>13</v>
      </c>
      <c r="H130" s="3" t="s">
        <v>250</v>
      </c>
      <c r="I130" s="3" t="s">
        <v>438</v>
      </c>
      <c r="J130" s="3" t="s">
        <v>13</v>
      </c>
      <c r="K130" s="3" t="s">
        <v>13</v>
      </c>
      <c r="L130" s="3" t="s">
        <v>480</v>
      </c>
      <c r="M130" s="3" t="s">
        <v>84</v>
      </c>
      <c r="N130" s="3" t="s">
        <v>13</v>
      </c>
      <c r="O130">
        <v>1</v>
      </c>
      <c r="R130">
        <v>200</v>
      </c>
      <c r="S130">
        <v>100</v>
      </c>
      <c r="U130" t="str">
        <f>CONCATENATE(D130," ","Your Unique Reference#"," ",A130," ","Registration confirmed")</f>
        <v>Mohammad yousouf adil Your Unique Reference# 133941 Registration confirmed</v>
      </c>
    </row>
    <row r="131" spans="1:21" hidden="1" x14ac:dyDescent="0.3">
      <c r="A131">
        <v>194360</v>
      </c>
      <c r="B131" t="s">
        <v>738</v>
      </c>
      <c r="C131" s="4" t="s">
        <v>652</v>
      </c>
      <c r="D131" t="s">
        <v>755</v>
      </c>
      <c r="E131">
        <v>1988</v>
      </c>
      <c r="F131">
        <v>9791030372</v>
      </c>
      <c r="G131" s="4" t="s">
        <v>13</v>
      </c>
      <c r="H131">
        <v>2</v>
      </c>
      <c r="I131" t="s">
        <v>141</v>
      </c>
      <c r="J131" t="s">
        <v>25</v>
      </c>
      <c r="K131" t="s">
        <v>25</v>
      </c>
      <c r="N131" t="s">
        <v>13</v>
      </c>
      <c r="O131">
        <v>2</v>
      </c>
      <c r="P131">
        <v>1</v>
      </c>
      <c r="R131">
        <v>600</v>
      </c>
      <c r="S131">
        <v>100</v>
      </c>
      <c r="U131" t="str">
        <f>CONCATENATE(D131," ","Your Unique Reference#"," ",A131," ","Registration confirmed")</f>
        <v>Mrs. Shahin Your Unique Reference# 194360 Registration confirmed</v>
      </c>
    </row>
    <row r="132" spans="1:21" hidden="1" x14ac:dyDescent="0.3">
      <c r="C132" s="4" t="s">
        <v>652</v>
      </c>
      <c r="D132" s="12" t="s">
        <v>773</v>
      </c>
      <c r="E132" s="12">
        <v>1988</v>
      </c>
      <c r="F132" s="12">
        <v>9841114254</v>
      </c>
      <c r="G132" s="4" t="s">
        <v>13</v>
      </c>
      <c r="H132">
        <v>3</v>
      </c>
      <c r="I132" s="4" t="s">
        <v>141</v>
      </c>
      <c r="J132" s="4" t="s">
        <v>25</v>
      </c>
      <c r="K132" s="4" t="s">
        <v>25</v>
      </c>
      <c r="N132" s="4" t="s">
        <v>13</v>
      </c>
      <c r="O132">
        <v>2</v>
      </c>
      <c r="P132">
        <v>1</v>
      </c>
      <c r="Q132" s="7">
        <v>43065</v>
      </c>
      <c r="R132">
        <v>400</v>
      </c>
      <c r="S132">
        <v>100</v>
      </c>
    </row>
    <row r="133" spans="1:21" x14ac:dyDescent="0.3">
      <c r="A133">
        <v>174110</v>
      </c>
      <c r="B133" s="2">
        <v>43063.73371951389</v>
      </c>
      <c r="C133" s="2" t="s">
        <v>651</v>
      </c>
      <c r="D133" s="3" t="s">
        <v>609</v>
      </c>
      <c r="E133" s="3">
        <v>1988</v>
      </c>
      <c r="F133" s="3">
        <v>9841423786</v>
      </c>
      <c r="G133" s="3" t="s">
        <v>13</v>
      </c>
      <c r="H133" s="3">
        <v>1</v>
      </c>
      <c r="I133" s="3" t="s">
        <v>13</v>
      </c>
      <c r="J133" s="3" t="s">
        <v>13</v>
      </c>
      <c r="K133" s="3" t="s">
        <v>13</v>
      </c>
      <c r="L133" s="3" t="s">
        <v>610</v>
      </c>
      <c r="M133" s="3" t="s">
        <v>59</v>
      </c>
      <c r="N133" s="3" t="s">
        <v>13</v>
      </c>
      <c r="O133">
        <v>1</v>
      </c>
      <c r="R133">
        <v>200</v>
      </c>
      <c r="S133">
        <v>100</v>
      </c>
      <c r="U133" t="str">
        <f>CONCATENATE(D133," ","Your Unique Reference#"," ",A133," ","Registration confirmed")</f>
        <v>Reji Sam Your Unique Reference# 174110 Registration confirmed</v>
      </c>
    </row>
    <row r="134" spans="1:21" x14ac:dyDescent="0.3">
      <c r="A134">
        <v>146033</v>
      </c>
      <c r="B134" s="2">
        <v>43048.430851087964</v>
      </c>
      <c r="C134" s="2" t="s">
        <v>651</v>
      </c>
      <c r="D134" s="3" t="s">
        <v>185</v>
      </c>
      <c r="E134" s="3">
        <v>1988</v>
      </c>
      <c r="F134" s="3">
        <v>9841114254</v>
      </c>
      <c r="G134" s="3" t="s">
        <v>13</v>
      </c>
      <c r="H134" s="3" t="s">
        <v>187</v>
      </c>
      <c r="I134" s="3" t="s">
        <v>188</v>
      </c>
      <c r="J134" s="3" t="s">
        <v>13</v>
      </c>
      <c r="K134" s="3" t="s">
        <v>13</v>
      </c>
      <c r="L134" s="3" t="s">
        <v>189</v>
      </c>
      <c r="M134" s="3" t="s">
        <v>17</v>
      </c>
      <c r="N134" s="3" t="s">
        <v>13</v>
      </c>
      <c r="O134">
        <v>1</v>
      </c>
      <c r="P134">
        <v>1</v>
      </c>
      <c r="R134">
        <v>200</v>
      </c>
      <c r="S134">
        <v>100</v>
      </c>
    </row>
    <row r="135" spans="1:21" x14ac:dyDescent="0.3">
      <c r="A135">
        <v>180224</v>
      </c>
      <c r="B135" s="2">
        <v>43047.84710407407</v>
      </c>
      <c r="C135" s="2" t="s">
        <v>651</v>
      </c>
      <c r="D135" s="3" t="s">
        <v>117</v>
      </c>
      <c r="E135" s="3">
        <v>1988</v>
      </c>
      <c r="F135" s="3">
        <v>9962504674</v>
      </c>
      <c r="G135" s="3" t="s">
        <v>13</v>
      </c>
      <c r="H135" s="3">
        <v>1</v>
      </c>
      <c r="I135" s="3" t="s">
        <v>41</v>
      </c>
      <c r="J135" s="3" t="s">
        <v>13</v>
      </c>
      <c r="K135" s="3" t="s">
        <v>13</v>
      </c>
      <c r="L135" s="3" t="s">
        <v>119</v>
      </c>
      <c r="M135" s="3" t="s">
        <v>17</v>
      </c>
      <c r="N135" s="3" t="s">
        <v>13</v>
      </c>
      <c r="O135">
        <v>1</v>
      </c>
      <c r="R135">
        <v>200</v>
      </c>
      <c r="S135">
        <v>100</v>
      </c>
    </row>
    <row r="136" spans="1:21" x14ac:dyDescent="0.3">
      <c r="A136">
        <v>197895</v>
      </c>
      <c r="B136" s="2">
        <v>43047.755484039357</v>
      </c>
      <c r="C136" s="2" t="s">
        <v>651</v>
      </c>
      <c r="D136" s="3" t="s">
        <v>29</v>
      </c>
      <c r="E136" s="3">
        <v>1988</v>
      </c>
      <c r="F136" s="3">
        <v>971502471199</v>
      </c>
      <c r="G136" s="3" t="s">
        <v>13</v>
      </c>
      <c r="H136" s="3" t="s">
        <v>30</v>
      </c>
      <c r="I136" s="3" t="s">
        <v>15</v>
      </c>
      <c r="J136" s="3" t="s">
        <v>13</v>
      </c>
      <c r="K136" s="3" t="s">
        <v>13</v>
      </c>
      <c r="L136" s="3" t="s">
        <v>31</v>
      </c>
      <c r="M136" s="3" t="s">
        <v>32</v>
      </c>
      <c r="N136" s="3" t="s">
        <v>13</v>
      </c>
      <c r="O136">
        <v>1</v>
      </c>
      <c r="R136">
        <v>200</v>
      </c>
      <c r="S136">
        <v>100</v>
      </c>
      <c r="U136" t="str">
        <f t="shared" ref="U136:U164" si="4">CONCATENATE(D136," ","Your Unique Reference#"," ",A136," ","Registration confirmed")</f>
        <v>Shaheen Ara Your Unique Reference# 197895 Registration confirmed</v>
      </c>
    </row>
    <row r="137" spans="1:21" x14ac:dyDescent="0.3">
      <c r="A137">
        <v>106704</v>
      </c>
      <c r="B137" s="2">
        <v>43055.808690243051</v>
      </c>
      <c r="C137" s="2" t="s">
        <v>651</v>
      </c>
      <c r="D137" s="3" t="s">
        <v>336</v>
      </c>
      <c r="E137" s="3">
        <v>1988</v>
      </c>
      <c r="F137" s="3">
        <v>9884928996</v>
      </c>
      <c r="G137" s="3" t="s">
        <v>13</v>
      </c>
      <c r="H137" s="3" t="s">
        <v>30</v>
      </c>
      <c r="I137" s="3" t="s">
        <v>141</v>
      </c>
      <c r="J137" s="3" t="s">
        <v>13</v>
      </c>
      <c r="K137" s="3" t="s">
        <v>13</v>
      </c>
      <c r="L137" s="3" t="s">
        <v>337</v>
      </c>
      <c r="M137" s="3" t="s">
        <v>338</v>
      </c>
      <c r="N137" s="3" t="s">
        <v>13</v>
      </c>
      <c r="O137">
        <v>1</v>
      </c>
      <c r="R137">
        <v>200</v>
      </c>
      <c r="S137">
        <v>100</v>
      </c>
      <c r="U137" t="str">
        <f t="shared" si="4"/>
        <v>Sumy Eapen Your Unique Reference# 106704 Registration confirmed</v>
      </c>
    </row>
    <row r="138" spans="1:21" hidden="1" x14ac:dyDescent="0.3">
      <c r="C138" s="4" t="s">
        <v>652</v>
      </c>
      <c r="D138" s="12" t="s">
        <v>780</v>
      </c>
      <c r="E138" s="12">
        <v>1989</v>
      </c>
      <c r="F138" s="12">
        <v>9840811707</v>
      </c>
      <c r="G138" s="4" t="s">
        <v>13</v>
      </c>
      <c r="H138">
        <v>1</v>
      </c>
      <c r="I138" s="4" t="s">
        <v>141</v>
      </c>
      <c r="J138" s="4" t="s">
        <v>25</v>
      </c>
      <c r="K138" s="4" t="s">
        <v>25</v>
      </c>
      <c r="N138" s="4" t="s">
        <v>13</v>
      </c>
      <c r="O138">
        <v>1</v>
      </c>
      <c r="Q138" s="7">
        <v>43065</v>
      </c>
      <c r="R138">
        <v>200</v>
      </c>
      <c r="S138">
        <v>100</v>
      </c>
      <c r="U138" t="str">
        <f t="shared" si="4"/>
        <v>Mr. Brian Taylor Your Unique Reference#  Registration confirmed</v>
      </c>
    </row>
    <row r="139" spans="1:21" hidden="1" x14ac:dyDescent="0.3">
      <c r="A139">
        <v>120773</v>
      </c>
      <c r="B139" s="2">
        <v>43064.781586296296</v>
      </c>
      <c r="C139" s="2" t="s">
        <v>651</v>
      </c>
      <c r="D139" s="3" t="s">
        <v>643</v>
      </c>
      <c r="E139" s="3">
        <v>1990</v>
      </c>
      <c r="F139" s="3">
        <v>9884832397</v>
      </c>
      <c r="G139" s="3" t="s">
        <v>13</v>
      </c>
      <c r="H139" s="3">
        <v>1</v>
      </c>
      <c r="I139" s="3" t="s">
        <v>13</v>
      </c>
      <c r="J139" s="3" t="s">
        <v>13</v>
      </c>
      <c r="K139" s="3" t="s">
        <v>25</v>
      </c>
      <c r="L139" s="3" t="s">
        <v>644</v>
      </c>
      <c r="M139" s="3" t="s">
        <v>59</v>
      </c>
      <c r="N139" s="3" t="s">
        <v>13</v>
      </c>
      <c r="O139">
        <v>1</v>
      </c>
      <c r="R139">
        <v>200</v>
      </c>
      <c r="S139">
        <v>100</v>
      </c>
      <c r="U139" t="str">
        <f t="shared" si="4"/>
        <v>Afroz Your Unique Reference# 120773 Registration confirmed</v>
      </c>
    </row>
    <row r="140" spans="1:21" x14ac:dyDescent="0.3">
      <c r="A140">
        <v>123260</v>
      </c>
      <c r="B140" s="2">
        <v>43064.493463715276</v>
      </c>
      <c r="C140" s="2" t="s">
        <v>651</v>
      </c>
      <c r="D140" s="3" t="s">
        <v>626</v>
      </c>
      <c r="E140" s="3">
        <v>1990</v>
      </c>
      <c r="F140" s="3">
        <v>9840200845</v>
      </c>
      <c r="G140" s="3" t="s">
        <v>13</v>
      </c>
      <c r="H140" s="3" t="s">
        <v>30</v>
      </c>
      <c r="I140" s="3" t="s">
        <v>627</v>
      </c>
      <c r="J140" s="3" t="s">
        <v>13</v>
      </c>
      <c r="K140" s="3" t="s">
        <v>13</v>
      </c>
      <c r="L140" s="3" t="s">
        <v>628</v>
      </c>
      <c r="M140" s="3" t="s">
        <v>629</v>
      </c>
      <c r="N140" s="3" t="s">
        <v>13</v>
      </c>
      <c r="O140">
        <v>1</v>
      </c>
      <c r="R140">
        <v>200</v>
      </c>
      <c r="S140">
        <v>100</v>
      </c>
      <c r="U140" t="str">
        <f t="shared" si="4"/>
        <v>Andrea Ramnath  Your Unique Reference# 123260 Registration confirmed</v>
      </c>
    </row>
    <row r="141" spans="1:21" x14ac:dyDescent="0.3">
      <c r="A141">
        <v>196739</v>
      </c>
      <c r="B141" s="2">
        <v>43063.489800474534</v>
      </c>
      <c r="C141" s="2" t="s">
        <v>651</v>
      </c>
      <c r="D141" s="3" t="s">
        <v>603</v>
      </c>
      <c r="E141" s="3">
        <v>1990</v>
      </c>
      <c r="F141" s="3">
        <v>9840350724</v>
      </c>
      <c r="G141" s="3" t="s">
        <v>13</v>
      </c>
      <c r="H141" s="3" t="s">
        <v>604</v>
      </c>
      <c r="I141" s="3" t="s">
        <v>605</v>
      </c>
      <c r="J141" s="3" t="s">
        <v>13</v>
      </c>
      <c r="K141" s="3" t="s">
        <v>13</v>
      </c>
      <c r="L141" s="3" t="s">
        <v>606</v>
      </c>
      <c r="M141" s="3" t="s">
        <v>59</v>
      </c>
      <c r="N141" s="3" t="s">
        <v>13</v>
      </c>
      <c r="O141">
        <v>2</v>
      </c>
      <c r="P141">
        <v>1</v>
      </c>
      <c r="R141">
        <f>200*3</f>
        <v>600</v>
      </c>
      <c r="S141">
        <v>100</v>
      </c>
      <c r="U141" t="str">
        <f t="shared" si="4"/>
        <v>B.Indra Your Unique Reference# 196739 Registration confirmed</v>
      </c>
    </row>
    <row r="142" spans="1:21" hidden="1" x14ac:dyDescent="0.3">
      <c r="A142">
        <v>267908</v>
      </c>
      <c r="B142" s="2">
        <v>43061.483288634263</v>
      </c>
      <c r="C142" s="2" t="s">
        <v>651</v>
      </c>
      <c r="D142" s="3" t="s">
        <v>530</v>
      </c>
      <c r="E142" s="3">
        <v>1990</v>
      </c>
      <c r="F142" s="3">
        <v>994149910</v>
      </c>
      <c r="G142" s="3" t="s">
        <v>13</v>
      </c>
      <c r="H142" s="3">
        <v>1</v>
      </c>
      <c r="I142" s="3" t="s">
        <v>20</v>
      </c>
      <c r="J142" s="3" t="s">
        <v>25</v>
      </c>
      <c r="K142" s="3" t="s">
        <v>25</v>
      </c>
      <c r="L142" s="3" t="s">
        <v>531</v>
      </c>
      <c r="M142" s="3" t="s">
        <v>17</v>
      </c>
      <c r="N142" s="9" t="s">
        <v>13</v>
      </c>
      <c r="O142">
        <v>1</v>
      </c>
      <c r="R142">
        <v>200</v>
      </c>
      <c r="S142">
        <v>100</v>
      </c>
      <c r="U142" t="str">
        <f t="shared" si="4"/>
        <v>DESMOND LEONARD Your Unique Reference# 267908 Registration confirmed</v>
      </c>
    </row>
    <row r="143" spans="1:21" x14ac:dyDescent="0.3">
      <c r="A143">
        <v>176696</v>
      </c>
      <c r="B143" s="2">
        <v>43061.443342847226</v>
      </c>
      <c r="C143" s="2" t="s">
        <v>651</v>
      </c>
      <c r="D143" s="3" t="s">
        <v>510</v>
      </c>
      <c r="E143" s="3">
        <v>1990</v>
      </c>
      <c r="F143" s="3">
        <v>9677099881</v>
      </c>
      <c r="G143" s="3" t="s">
        <v>13</v>
      </c>
      <c r="H143" s="3">
        <v>0</v>
      </c>
      <c r="I143" s="3" t="s">
        <v>141</v>
      </c>
      <c r="J143" s="3" t="s">
        <v>13</v>
      </c>
      <c r="K143" s="3" t="s">
        <v>13</v>
      </c>
      <c r="L143" s="3" t="s">
        <v>511</v>
      </c>
      <c r="M143" s="3" t="s">
        <v>84</v>
      </c>
      <c r="N143" s="3" t="s">
        <v>13</v>
      </c>
      <c r="O143">
        <v>1</v>
      </c>
      <c r="R143">
        <v>200</v>
      </c>
      <c r="S143">
        <v>100</v>
      </c>
      <c r="U143" t="str">
        <f t="shared" si="4"/>
        <v>Dinesh Kumar Purushothaman Your Unique Reference# 176696 Registration confirmed</v>
      </c>
    </row>
    <row r="144" spans="1:21" x14ac:dyDescent="0.3">
      <c r="A144">
        <v>174864</v>
      </c>
      <c r="B144" s="2">
        <v>43064.80422982639</v>
      </c>
      <c r="C144" s="2" t="s">
        <v>651</v>
      </c>
      <c r="D144" s="3" t="s">
        <v>645</v>
      </c>
      <c r="E144" s="3">
        <v>1990</v>
      </c>
      <c r="F144" s="3">
        <v>9003270133</v>
      </c>
      <c r="G144" s="3" t="s">
        <v>13</v>
      </c>
      <c r="H144" s="3" t="s">
        <v>646</v>
      </c>
      <c r="I144" s="3">
        <v>4</v>
      </c>
      <c r="J144" s="3" t="s">
        <v>13</v>
      </c>
      <c r="K144" s="3" t="s">
        <v>13</v>
      </c>
      <c r="L144" s="3" t="s">
        <v>647</v>
      </c>
      <c r="M144" s="3" t="s">
        <v>648</v>
      </c>
      <c r="N144" s="3" t="s">
        <v>13</v>
      </c>
      <c r="O144">
        <v>3</v>
      </c>
      <c r="P144">
        <v>1</v>
      </c>
      <c r="R144">
        <f>4*200</f>
        <v>800</v>
      </c>
      <c r="S144">
        <v>100</v>
      </c>
      <c r="U144" t="str">
        <f t="shared" si="4"/>
        <v>Lakshmi lokeshwaran Your Unique Reference# 174864 Registration confirmed</v>
      </c>
    </row>
    <row r="145" spans="1:22" x14ac:dyDescent="0.3">
      <c r="A145">
        <v>150880</v>
      </c>
      <c r="B145" s="2">
        <v>43061.447423923615</v>
      </c>
      <c r="C145" s="2" t="s">
        <v>651</v>
      </c>
      <c r="D145" s="3" t="s">
        <v>516</v>
      </c>
      <c r="E145" s="3">
        <v>1990</v>
      </c>
      <c r="F145" s="3">
        <v>9791077233</v>
      </c>
      <c r="G145" s="3" t="s">
        <v>13</v>
      </c>
      <c r="H145" s="3" t="s">
        <v>517</v>
      </c>
      <c r="I145" s="3" t="s">
        <v>35</v>
      </c>
      <c r="J145" s="3" t="s">
        <v>13</v>
      </c>
      <c r="K145" s="3" t="s">
        <v>13</v>
      </c>
      <c r="L145" s="3" t="s">
        <v>518</v>
      </c>
      <c r="M145" s="3" t="s">
        <v>519</v>
      </c>
      <c r="N145" s="3" t="s">
        <v>13</v>
      </c>
      <c r="O145">
        <v>1</v>
      </c>
      <c r="P145">
        <v>1</v>
      </c>
      <c r="R145">
        <v>200</v>
      </c>
      <c r="S145">
        <v>100</v>
      </c>
      <c r="U145" t="str">
        <f t="shared" si="4"/>
        <v>M Hemamalini  Your Unique Reference# 150880 Registration confirmed</v>
      </c>
    </row>
    <row r="146" spans="1:22" x14ac:dyDescent="0.3">
      <c r="A146">
        <v>150000</v>
      </c>
      <c r="B146" s="2">
        <v>43062.880733888887</v>
      </c>
      <c r="C146" s="2" t="s">
        <v>651</v>
      </c>
      <c r="D146" s="3" t="s">
        <v>577</v>
      </c>
      <c r="E146" s="3">
        <v>1990</v>
      </c>
      <c r="F146" s="3">
        <v>9840244278</v>
      </c>
      <c r="G146" s="3" t="s">
        <v>13</v>
      </c>
      <c r="H146" s="3" t="s">
        <v>40</v>
      </c>
      <c r="I146" s="3" t="s">
        <v>35</v>
      </c>
      <c r="J146" s="3" t="s">
        <v>13</v>
      </c>
      <c r="K146" s="3" t="s">
        <v>13</v>
      </c>
      <c r="L146" s="3" t="s">
        <v>518</v>
      </c>
      <c r="M146" s="3" t="s">
        <v>519</v>
      </c>
      <c r="N146" s="3" t="s">
        <v>13</v>
      </c>
      <c r="O146">
        <v>1</v>
      </c>
      <c r="R146">
        <v>200</v>
      </c>
      <c r="S146">
        <v>100</v>
      </c>
      <c r="U146" t="str">
        <f t="shared" si="4"/>
        <v>M Jayanthi Your Unique Reference# 150000 Registration confirmed</v>
      </c>
      <c r="V146" s="11" t="s">
        <v>766</v>
      </c>
    </row>
    <row r="147" spans="1:22" x14ac:dyDescent="0.3">
      <c r="A147">
        <v>162913</v>
      </c>
      <c r="B147" s="2">
        <v>43061.436310243051</v>
      </c>
      <c r="C147" s="2" t="s">
        <v>651</v>
      </c>
      <c r="D147" s="3" t="s">
        <v>500</v>
      </c>
      <c r="E147" s="3">
        <v>1990</v>
      </c>
      <c r="F147" s="3">
        <v>8012580506</v>
      </c>
      <c r="G147" s="3" t="s">
        <v>13</v>
      </c>
      <c r="H147" s="3">
        <v>1</v>
      </c>
      <c r="I147" s="3" t="s">
        <v>141</v>
      </c>
      <c r="J147" s="3" t="s">
        <v>13</v>
      </c>
      <c r="K147" s="3" t="s">
        <v>13</v>
      </c>
      <c r="L147" s="3" t="s">
        <v>501</v>
      </c>
      <c r="M147" s="3" t="s">
        <v>502</v>
      </c>
      <c r="N147" s="3" t="s">
        <v>13</v>
      </c>
      <c r="O147">
        <v>1</v>
      </c>
      <c r="R147">
        <v>200</v>
      </c>
      <c r="S147">
        <v>100</v>
      </c>
      <c r="U147" t="str">
        <f t="shared" si="4"/>
        <v>Mohankumar B Your Unique Reference# 162913 Registration confirmed</v>
      </c>
      <c r="V147" s="11" t="s">
        <v>766</v>
      </c>
    </row>
    <row r="148" spans="1:22" hidden="1" x14ac:dyDescent="0.3">
      <c r="A148">
        <v>275901</v>
      </c>
      <c r="B148" s="2">
        <v>43058.759150381942</v>
      </c>
      <c r="C148" s="2" t="s">
        <v>651</v>
      </c>
      <c r="D148" s="3" t="s">
        <v>358</v>
      </c>
      <c r="E148" s="3">
        <v>1990</v>
      </c>
      <c r="F148" s="3" t="s">
        <v>359</v>
      </c>
      <c r="G148" s="3" t="s">
        <v>13</v>
      </c>
      <c r="H148" s="3">
        <v>1</v>
      </c>
      <c r="I148" s="3" t="s">
        <v>15</v>
      </c>
      <c r="J148" s="3" t="s">
        <v>13</v>
      </c>
      <c r="K148" s="3" t="s">
        <v>25</v>
      </c>
      <c r="L148" s="3" t="s">
        <v>360</v>
      </c>
      <c r="M148" s="3" t="s">
        <v>84</v>
      </c>
      <c r="N148" s="9" t="s">
        <v>13</v>
      </c>
      <c r="O148">
        <v>1</v>
      </c>
      <c r="R148">
        <v>200</v>
      </c>
      <c r="S148">
        <v>100</v>
      </c>
      <c r="U148" t="str">
        <f t="shared" si="4"/>
        <v>Navin Jairam Jaswani  Your Unique Reference# 275901 Registration confirmed</v>
      </c>
    </row>
    <row r="149" spans="1:22" x14ac:dyDescent="0.3">
      <c r="A149">
        <v>187250</v>
      </c>
      <c r="B149" s="2">
        <v>43062.788576990744</v>
      </c>
      <c r="C149" s="2" t="s">
        <v>651</v>
      </c>
      <c r="D149" s="3" t="s">
        <v>570</v>
      </c>
      <c r="E149" s="3">
        <v>1990</v>
      </c>
      <c r="F149" s="3">
        <v>9840735718</v>
      </c>
      <c r="G149" s="3" t="s">
        <v>13</v>
      </c>
      <c r="H149" s="3" t="s">
        <v>571</v>
      </c>
      <c r="I149" s="3" t="s">
        <v>35</v>
      </c>
      <c r="J149" s="3" t="s">
        <v>13</v>
      </c>
      <c r="K149" s="3" t="s">
        <v>13</v>
      </c>
      <c r="L149" s="3" t="s">
        <v>572</v>
      </c>
      <c r="M149" s="3" t="s">
        <v>573</v>
      </c>
      <c r="N149" s="3" t="s">
        <v>13</v>
      </c>
      <c r="O149">
        <v>4</v>
      </c>
      <c r="R149">
        <f>200*4</f>
        <v>800</v>
      </c>
      <c r="S149">
        <v>100</v>
      </c>
      <c r="U149" t="str">
        <f t="shared" si="4"/>
        <v>Sandrasureshkumar Your Unique Reference# 187250 Registration confirmed</v>
      </c>
    </row>
    <row r="150" spans="1:22" hidden="1" x14ac:dyDescent="0.3">
      <c r="A150">
        <v>251538</v>
      </c>
      <c r="B150" s="2">
        <v>43058.761493819446</v>
      </c>
      <c r="C150" s="2" t="s">
        <v>651</v>
      </c>
      <c r="D150" s="3" t="s">
        <v>361</v>
      </c>
      <c r="E150" s="3">
        <v>1990</v>
      </c>
      <c r="F150" s="3" t="s">
        <v>362</v>
      </c>
      <c r="G150" s="3" t="s">
        <v>13</v>
      </c>
      <c r="H150" s="3">
        <v>1</v>
      </c>
      <c r="I150" s="3" t="s">
        <v>363</v>
      </c>
      <c r="J150" s="3" t="s">
        <v>13</v>
      </c>
      <c r="K150" s="3" t="s">
        <v>25</v>
      </c>
      <c r="L150" s="3" t="s">
        <v>364</v>
      </c>
      <c r="M150" s="3" t="s">
        <v>59</v>
      </c>
      <c r="N150" s="9" t="s">
        <v>13</v>
      </c>
      <c r="O150">
        <v>1</v>
      </c>
      <c r="R150">
        <v>200</v>
      </c>
      <c r="S150">
        <v>100</v>
      </c>
      <c r="U150" t="str">
        <f t="shared" si="4"/>
        <v>Syed Asim Salam Your Unique Reference# 251538 Registration confirmed</v>
      </c>
    </row>
    <row r="151" spans="1:22" hidden="1" x14ac:dyDescent="0.3">
      <c r="A151">
        <v>254066</v>
      </c>
      <c r="B151" s="2">
        <v>43064.70639821759</v>
      </c>
      <c r="C151" s="2" t="s">
        <v>651</v>
      </c>
      <c r="D151" s="3" t="s">
        <v>641</v>
      </c>
      <c r="E151" s="3">
        <v>1990</v>
      </c>
      <c r="F151" s="3">
        <v>9840556916</v>
      </c>
      <c r="G151" s="3" t="s">
        <v>13</v>
      </c>
      <c r="H151" s="3" t="s">
        <v>25</v>
      </c>
      <c r="I151" s="3" t="s">
        <v>13</v>
      </c>
      <c r="J151" s="3" t="s">
        <v>25</v>
      </c>
      <c r="K151" s="3" t="s">
        <v>13</v>
      </c>
      <c r="L151" s="3" t="s">
        <v>642</v>
      </c>
      <c r="M151" s="3" t="s">
        <v>59</v>
      </c>
      <c r="N151" s="9" t="s">
        <v>13</v>
      </c>
      <c r="O151">
        <v>1</v>
      </c>
      <c r="R151">
        <v>200</v>
      </c>
      <c r="S151">
        <v>100</v>
      </c>
      <c r="U151" t="str">
        <f t="shared" si="4"/>
        <v>Syed Muthar Hussainy Your Unique Reference# 254066 Registration confirmed</v>
      </c>
    </row>
    <row r="152" spans="1:22" x14ac:dyDescent="0.3">
      <c r="A152">
        <v>194584</v>
      </c>
      <c r="B152" s="2">
        <v>43061.604185497687</v>
      </c>
      <c r="C152" s="2" t="s">
        <v>651</v>
      </c>
      <c r="D152" s="3" t="s">
        <v>545</v>
      </c>
      <c r="E152" s="3">
        <v>1991</v>
      </c>
      <c r="F152" s="3">
        <v>9884611423</v>
      </c>
      <c r="G152" s="3" t="s">
        <v>13</v>
      </c>
      <c r="H152" s="3">
        <v>0</v>
      </c>
      <c r="I152" s="3" t="s">
        <v>41</v>
      </c>
      <c r="J152" s="3" t="s">
        <v>13</v>
      </c>
      <c r="K152" s="3" t="s">
        <v>13</v>
      </c>
      <c r="L152" s="3" t="s">
        <v>546</v>
      </c>
      <c r="M152" s="3" t="s">
        <v>17</v>
      </c>
      <c r="N152" s="3" t="s">
        <v>13</v>
      </c>
      <c r="O152">
        <v>1</v>
      </c>
      <c r="R152">
        <v>200</v>
      </c>
      <c r="S152">
        <v>100</v>
      </c>
      <c r="U152" t="str">
        <f t="shared" si="4"/>
        <v>Balaji MN Your Unique Reference# 194584 Registration confirmed</v>
      </c>
    </row>
    <row r="153" spans="1:22" x14ac:dyDescent="0.3">
      <c r="A153">
        <v>182188</v>
      </c>
      <c r="B153" s="2">
        <v>43063.534392199072</v>
      </c>
      <c r="C153" s="2" t="s">
        <v>651</v>
      </c>
      <c r="D153" s="3" t="s">
        <v>607</v>
      </c>
      <c r="E153" s="3">
        <v>1991</v>
      </c>
      <c r="F153" s="3">
        <v>9943388833</v>
      </c>
      <c r="G153" s="3" t="s">
        <v>13</v>
      </c>
      <c r="H153" s="3" t="s">
        <v>92</v>
      </c>
      <c r="I153" s="3" t="s">
        <v>13</v>
      </c>
      <c r="J153" s="3" t="s">
        <v>13</v>
      </c>
      <c r="K153" s="3" t="s">
        <v>13</v>
      </c>
      <c r="L153" s="3" t="s">
        <v>608</v>
      </c>
      <c r="M153" s="3" t="s">
        <v>59</v>
      </c>
      <c r="N153" s="3" t="s">
        <v>13</v>
      </c>
      <c r="O153">
        <v>1</v>
      </c>
      <c r="R153">
        <v>200</v>
      </c>
      <c r="S153">
        <v>100</v>
      </c>
      <c r="U153" t="str">
        <f t="shared" si="4"/>
        <v>Christopher Jeyasingh Your Unique Reference# 182188 Registration confirmed</v>
      </c>
      <c r="V153" s="11" t="s">
        <v>766</v>
      </c>
    </row>
    <row r="154" spans="1:22" x14ac:dyDescent="0.3">
      <c r="A154">
        <v>100825</v>
      </c>
      <c r="B154" s="2">
        <v>43062.550184560183</v>
      </c>
      <c r="C154" s="2" t="s">
        <v>651</v>
      </c>
      <c r="D154" s="3" t="s">
        <v>568</v>
      </c>
      <c r="E154" s="3">
        <v>1991</v>
      </c>
      <c r="F154" s="3">
        <v>9884213331</v>
      </c>
      <c r="G154" s="3" t="s">
        <v>13</v>
      </c>
      <c r="H154" s="3">
        <v>1</v>
      </c>
      <c r="I154" s="3" t="s">
        <v>25</v>
      </c>
      <c r="J154" s="3" t="s">
        <v>13</v>
      </c>
      <c r="K154" s="3" t="s">
        <v>13</v>
      </c>
      <c r="L154" s="3" t="s">
        <v>569</v>
      </c>
      <c r="M154" s="3" t="s">
        <v>59</v>
      </c>
      <c r="N154" s="3" t="s">
        <v>13</v>
      </c>
      <c r="O154">
        <v>1</v>
      </c>
      <c r="R154">
        <v>200</v>
      </c>
      <c r="S154">
        <v>100</v>
      </c>
      <c r="U154" t="str">
        <f t="shared" si="4"/>
        <v>Haribhaskar Your Unique Reference# 100825 Registration confirmed</v>
      </c>
    </row>
    <row r="155" spans="1:22" hidden="1" x14ac:dyDescent="0.3">
      <c r="A155">
        <v>175406</v>
      </c>
      <c r="B155" s="2">
        <v>43060.444800104167</v>
      </c>
      <c r="C155" s="2" t="s">
        <v>651</v>
      </c>
      <c r="D155" s="3" t="s">
        <v>283</v>
      </c>
      <c r="E155" s="3">
        <v>1991</v>
      </c>
      <c r="F155" s="3">
        <v>9444647283</v>
      </c>
      <c r="G155" s="3" t="s">
        <v>13</v>
      </c>
      <c r="H155" s="3">
        <v>1</v>
      </c>
      <c r="I155" s="3" t="s">
        <v>35</v>
      </c>
      <c r="J155" s="3" t="s">
        <v>13</v>
      </c>
      <c r="K155" s="3" t="s">
        <v>25</v>
      </c>
      <c r="L155" s="3" t="s">
        <v>285</v>
      </c>
      <c r="M155" s="3" t="s">
        <v>286</v>
      </c>
      <c r="N155" s="3" t="s">
        <v>13</v>
      </c>
      <c r="O155">
        <v>2</v>
      </c>
      <c r="R155">
        <v>400</v>
      </c>
      <c r="S155">
        <v>200</v>
      </c>
      <c r="U155" t="str">
        <f t="shared" si="4"/>
        <v>Kalpanaprakash Your Unique Reference# 175406 Registration confirmed</v>
      </c>
    </row>
    <row r="156" spans="1:22" x14ac:dyDescent="0.3">
      <c r="A156">
        <v>166432</v>
      </c>
      <c r="B156" s="2">
        <v>43061.466326689813</v>
      </c>
      <c r="C156" s="2" t="s">
        <v>651</v>
      </c>
      <c r="D156" s="3" t="s">
        <v>524</v>
      </c>
      <c r="E156" s="3">
        <v>1991</v>
      </c>
      <c r="F156" s="3">
        <v>9048836136</v>
      </c>
      <c r="G156" s="3" t="s">
        <v>13</v>
      </c>
      <c r="H156" s="3">
        <v>2</v>
      </c>
      <c r="I156" s="3" t="s">
        <v>35</v>
      </c>
      <c r="J156" s="3" t="s">
        <v>13</v>
      </c>
      <c r="K156" s="3" t="s">
        <v>13</v>
      </c>
      <c r="L156" s="3" t="s">
        <v>525</v>
      </c>
      <c r="M156" s="3" t="s">
        <v>526</v>
      </c>
      <c r="N156" s="3" t="s">
        <v>13</v>
      </c>
      <c r="O156">
        <v>2</v>
      </c>
      <c r="R156">
        <v>400</v>
      </c>
      <c r="S156">
        <v>100</v>
      </c>
      <c r="U156" t="str">
        <f t="shared" si="4"/>
        <v>Sangeetha Your Unique Reference# 166432 Registration confirmed</v>
      </c>
      <c r="V156" s="11" t="s">
        <v>766</v>
      </c>
    </row>
    <row r="157" spans="1:22" x14ac:dyDescent="0.3">
      <c r="A157">
        <v>100211</v>
      </c>
      <c r="B157" s="2">
        <v>43060.391536932875</v>
      </c>
      <c r="C157" s="2" t="s">
        <v>651</v>
      </c>
      <c r="D157" s="3" t="s">
        <v>411</v>
      </c>
      <c r="E157" s="3">
        <v>1991</v>
      </c>
      <c r="F157" s="3">
        <v>9686260328</v>
      </c>
      <c r="G157" s="3" t="s">
        <v>13</v>
      </c>
      <c r="H157" s="3">
        <v>1</v>
      </c>
      <c r="I157" s="3" t="s">
        <v>41</v>
      </c>
      <c r="J157" s="3" t="s">
        <v>13</v>
      </c>
      <c r="K157" s="3" t="s">
        <v>13</v>
      </c>
      <c r="L157" s="3" t="s">
        <v>413</v>
      </c>
      <c r="M157" s="3" t="s">
        <v>414</v>
      </c>
      <c r="N157" s="3" t="s">
        <v>13</v>
      </c>
      <c r="O157">
        <v>1</v>
      </c>
      <c r="R157">
        <v>200</v>
      </c>
      <c r="S157">
        <v>100</v>
      </c>
      <c r="U157" t="str">
        <f t="shared" si="4"/>
        <v>Srinivasan K Your Unique Reference# 100211 Registration confirmed</v>
      </c>
    </row>
    <row r="158" spans="1:22" hidden="1" x14ac:dyDescent="0.3">
      <c r="A158">
        <v>121300</v>
      </c>
      <c r="B158" t="s">
        <v>697</v>
      </c>
      <c r="C158" s="4" t="s">
        <v>652</v>
      </c>
      <c r="D158" t="s">
        <v>762</v>
      </c>
      <c r="E158">
        <v>1992</v>
      </c>
      <c r="F158">
        <v>9840486555</v>
      </c>
      <c r="G158" t="s">
        <v>13</v>
      </c>
      <c r="H158">
        <v>1</v>
      </c>
      <c r="I158" t="s">
        <v>141</v>
      </c>
      <c r="J158" t="s">
        <v>25</v>
      </c>
      <c r="K158" t="s">
        <v>25</v>
      </c>
      <c r="N158" t="s">
        <v>13</v>
      </c>
      <c r="O158">
        <v>1</v>
      </c>
      <c r="R158">
        <v>200</v>
      </c>
      <c r="S158">
        <v>100</v>
      </c>
      <c r="U158" t="str">
        <f t="shared" si="4"/>
        <v>Anand Selvamani Your Unique Reference# 121300 Registration confirmed</v>
      </c>
    </row>
    <row r="159" spans="1:22" hidden="1" x14ac:dyDescent="0.3">
      <c r="A159">
        <v>147057</v>
      </c>
      <c r="B159" s="2">
        <v>43061.357956527776</v>
      </c>
      <c r="C159" s="2" t="s">
        <v>651</v>
      </c>
      <c r="D159" s="3" t="s">
        <v>499</v>
      </c>
      <c r="E159" s="3">
        <v>1992</v>
      </c>
      <c r="F159" s="3">
        <v>9940197697</v>
      </c>
      <c r="G159" s="3" t="s">
        <v>13</v>
      </c>
      <c r="H159" s="3">
        <v>0</v>
      </c>
      <c r="I159" s="3" t="s">
        <v>41</v>
      </c>
      <c r="J159" s="3" t="s">
        <v>13</v>
      </c>
      <c r="K159" s="3" t="s">
        <v>25</v>
      </c>
      <c r="L159" s="3" t="s">
        <v>497</v>
      </c>
      <c r="M159" s="3" t="s">
        <v>59</v>
      </c>
      <c r="N159" s="3" t="s">
        <v>13</v>
      </c>
      <c r="O159">
        <v>1</v>
      </c>
      <c r="Q159" s="3" t="s">
        <v>738</v>
      </c>
      <c r="R159">
        <v>200</v>
      </c>
      <c r="S159">
        <v>100</v>
      </c>
      <c r="U159" t="str">
        <f t="shared" si="4"/>
        <v>Charles Suresh Your Unique Reference# 147057 Registration confirmed</v>
      </c>
    </row>
    <row r="160" spans="1:22" hidden="1" x14ac:dyDescent="0.3">
      <c r="A160">
        <v>192012</v>
      </c>
      <c r="B160" s="2">
        <v>43060.367524479167</v>
      </c>
      <c r="C160" s="2" t="s">
        <v>651</v>
      </c>
      <c r="D160" s="3" t="s">
        <v>405</v>
      </c>
      <c r="E160" s="3">
        <v>1992</v>
      </c>
      <c r="F160" s="3">
        <v>9940651360</v>
      </c>
      <c r="G160" s="3" t="s">
        <v>13</v>
      </c>
      <c r="H160" s="3" t="s">
        <v>101</v>
      </c>
      <c r="I160" s="3" t="s">
        <v>35</v>
      </c>
      <c r="J160" s="3" t="s">
        <v>13</v>
      </c>
      <c r="K160" s="3" t="s">
        <v>25</v>
      </c>
      <c r="L160" s="3" t="s">
        <v>407</v>
      </c>
      <c r="M160" s="3" t="s">
        <v>310</v>
      </c>
      <c r="N160" s="3" t="s">
        <v>13</v>
      </c>
      <c r="O160">
        <v>1</v>
      </c>
      <c r="Q160" s="3" t="s">
        <v>697</v>
      </c>
      <c r="R160">
        <v>200</v>
      </c>
      <c r="S160">
        <v>100</v>
      </c>
      <c r="U160" t="str">
        <f t="shared" si="4"/>
        <v>Isabel Maria Fernandes Your Unique Reference# 192012 Registration confirmed</v>
      </c>
    </row>
    <row r="161" spans="1:24" hidden="1" x14ac:dyDescent="0.3">
      <c r="C161" s="4" t="s">
        <v>652</v>
      </c>
      <c r="D161" s="12" t="s">
        <v>791</v>
      </c>
      <c r="E161" s="12">
        <v>1992</v>
      </c>
      <c r="F161" s="12">
        <v>9840040876</v>
      </c>
      <c r="G161" s="4" t="s">
        <v>13</v>
      </c>
      <c r="H161">
        <v>1</v>
      </c>
      <c r="I161" s="4" t="s">
        <v>141</v>
      </c>
      <c r="J161" s="4" t="s">
        <v>25</v>
      </c>
      <c r="K161" s="4" t="s">
        <v>25</v>
      </c>
      <c r="N161" s="4" t="s">
        <v>13</v>
      </c>
      <c r="O161">
        <v>1</v>
      </c>
      <c r="Q161" s="7">
        <v>43065</v>
      </c>
      <c r="R161">
        <f>+O161*200</f>
        <v>200</v>
      </c>
      <c r="S161">
        <v>100</v>
      </c>
      <c r="U161" t="str">
        <f t="shared" si="4"/>
        <v>Mr. Asirvatham Your Unique Reference#  Registration confirmed</v>
      </c>
    </row>
    <row r="162" spans="1:24" hidden="1" x14ac:dyDescent="0.3">
      <c r="A162">
        <v>165982</v>
      </c>
      <c r="C162" s="4" t="s">
        <v>652</v>
      </c>
      <c r="D162" s="4" t="s">
        <v>674</v>
      </c>
      <c r="E162">
        <v>1992</v>
      </c>
      <c r="F162">
        <v>8610369090</v>
      </c>
      <c r="G162" s="4" t="s">
        <v>579</v>
      </c>
      <c r="H162">
        <v>2</v>
      </c>
      <c r="I162" t="s">
        <v>141</v>
      </c>
      <c r="J162" s="4" t="s">
        <v>25</v>
      </c>
      <c r="K162" s="4" t="s">
        <v>25</v>
      </c>
      <c r="M162" s="4" t="s">
        <v>686</v>
      </c>
      <c r="N162" s="4" t="s">
        <v>13</v>
      </c>
      <c r="O162">
        <v>2</v>
      </c>
      <c r="Q162" s="4" t="s">
        <v>696</v>
      </c>
      <c r="R162">
        <v>400</v>
      </c>
      <c r="S162">
        <v>100</v>
      </c>
      <c r="U162" t="str">
        <f t="shared" si="4"/>
        <v>Shakeel Ahmed Your Unique Reference# 165982 Registration confirmed</v>
      </c>
    </row>
    <row r="163" spans="1:24" x14ac:dyDescent="0.3">
      <c r="A163">
        <v>125401</v>
      </c>
      <c r="B163" s="2">
        <v>43047.758797615737</v>
      </c>
      <c r="C163" s="2" t="s">
        <v>651</v>
      </c>
      <c r="D163" s="3" t="s">
        <v>38</v>
      </c>
      <c r="E163" s="3">
        <v>1992</v>
      </c>
      <c r="F163" s="3">
        <v>9940456100</v>
      </c>
      <c r="G163" s="3" t="s">
        <v>13</v>
      </c>
      <c r="H163" s="3" t="s">
        <v>40</v>
      </c>
      <c r="I163" s="3" t="s">
        <v>41</v>
      </c>
      <c r="J163" s="3" t="s">
        <v>13</v>
      </c>
      <c r="K163" s="3" t="s">
        <v>13</v>
      </c>
      <c r="L163" s="3" t="s">
        <v>42</v>
      </c>
      <c r="M163" s="3" t="s">
        <v>17</v>
      </c>
      <c r="N163" s="3" t="s">
        <v>13</v>
      </c>
      <c r="O163">
        <v>1</v>
      </c>
      <c r="Q163" s="3" t="s">
        <v>697</v>
      </c>
      <c r="R163">
        <v>200</v>
      </c>
      <c r="S163">
        <v>100</v>
      </c>
      <c r="U163" t="str">
        <f t="shared" si="4"/>
        <v>Thompson P J Your Unique Reference# 125401 Registration confirmed</v>
      </c>
    </row>
    <row r="164" spans="1:24" hidden="1" x14ac:dyDescent="0.3">
      <c r="A164">
        <v>177245</v>
      </c>
      <c r="B164" s="2">
        <v>43047.762153113421</v>
      </c>
      <c r="C164" s="2" t="s">
        <v>651</v>
      </c>
      <c r="D164" s="3" t="s">
        <v>53</v>
      </c>
      <c r="E164" s="3">
        <v>1992</v>
      </c>
      <c r="F164" s="3">
        <v>9840996529</v>
      </c>
      <c r="G164" s="3" t="s">
        <v>13</v>
      </c>
      <c r="H164" s="3">
        <v>1</v>
      </c>
      <c r="I164" s="3" t="s">
        <v>41</v>
      </c>
      <c r="J164" s="3" t="s">
        <v>13</v>
      </c>
      <c r="K164" s="3" t="s">
        <v>25</v>
      </c>
      <c r="L164" s="3" t="s">
        <v>55</v>
      </c>
      <c r="M164" s="3" t="s">
        <v>17</v>
      </c>
      <c r="N164" s="3" t="s">
        <v>13</v>
      </c>
      <c r="O164">
        <v>1</v>
      </c>
      <c r="R164">
        <v>200</v>
      </c>
      <c r="S164">
        <v>100</v>
      </c>
      <c r="U164" t="str">
        <f t="shared" si="4"/>
        <v>Timothy Jayasingh Your Unique Reference# 177245 Registration confirmed</v>
      </c>
    </row>
    <row r="165" spans="1:24" x14ac:dyDescent="0.3">
      <c r="A165">
        <v>182667</v>
      </c>
      <c r="C165" s="4" t="s">
        <v>652</v>
      </c>
      <c r="D165" s="4" t="s">
        <v>714</v>
      </c>
      <c r="E165">
        <v>1992</v>
      </c>
      <c r="G165" s="4" t="s">
        <v>13</v>
      </c>
      <c r="N165" s="4" t="s">
        <v>13</v>
      </c>
      <c r="O165">
        <v>1</v>
      </c>
      <c r="R165">
        <v>200</v>
      </c>
      <c r="S165">
        <v>100</v>
      </c>
    </row>
    <row r="166" spans="1:24" x14ac:dyDescent="0.3">
      <c r="C166" s="4" t="s">
        <v>652</v>
      </c>
      <c r="D166" s="12" t="s">
        <v>787</v>
      </c>
      <c r="E166" s="12">
        <v>1993</v>
      </c>
      <c r="F166" s="12"/>
      <c r="G166" s="4" t="s">
        <v>13</v>
      </c>
      <c r="H166">
        <v>1</v>
      </c>
      <c r="I166" s="4" t="s">
        <v>141</v>
      </c>
      <c r="J166" s="4" t="s">
        <v>13</v>
      </c>
      <c r="K166" s="4" t="s">
        <v>13</v>
      </c>
      <c r="N166" s="4" t="s">
        <v>13</v>
      </c>
      <c r="O166">
        <v>1</v>
      </c>
      <c r="Q166" s="7">
        <v>43065</v>
      </c>
      <c r="R166">
        <f>+O166*200</f>
        <v>200</v>
      </c>
      <c r="S166">
        <v>100</v>
      </c>
    </row>
    <row r="167" spans="1:24" x14ac:dyDescent="0.3">
      <c r="A167">
        <v>142954</v>
      </c>
      <c r="C167" s="4" t="s">
        <v>652</v>
      </c>
      <c r="D167" s="4" t="s">
        <v>658</v>
      </c>
      <c r="E167">
        <v>1993</v>
      </c>
      <c r="G167" t="s">
        <v>13</v>
      </c>
      <c r="H167">
        <v>1</v>
      </c>
      <c r="I167" t="s">
        <v>141</v>
      </c>
      <c r="J167" s="4" t="s">
        <v>13</v>
      </c>
      <c r="K167" s="4" t="s">
        <v>13</v>
      </c>
      <c r="N167" t="s">
        <v>13</v>
      </c>
      <c r="O167">
        <v>1</v>
      </c>
      <c r="Q167" s="4" t="s">
        <v>695</v>
      </c>
      <c r="R167">
        <v>200</v>
      </c>
      <c r="S167">
        <v>100</v>
      </c>
    </row>
    <row r="168" spans="1:24" x14ac:dyDescent="0.3">
      <c r="C168" s="4" t="s">
        <v>652</v>
      </c>
      <c r="D168" s="12" t="s">
        <v>788</v>
      </c>
      <c r="E168" s="12">
        <v>1993</v>
      </c>
      <c r="F168" s="12"/>
      <c r="G168" s="4" t="s">
        <v>13</v>
      </c>
      <c r="H168">
        <v>1</v>
      </c>
      <c r="I168" s="4" t="s">
        <v>141</v>
      </c>
      <c r="J168" s="4" t="s">
        <v>13</v>
      </c>
      <c r="K168" s="4" t="s">
        <v>13</v>
      </c>
      <c r="N168" s="4" t="s">
        <v>13</v>
      </c>
      <c r="O168">
        <v>1</v>
      </c>
      <c r="Q168" s="7">
        <v>43065</v>
      </c>
      <c r="R168">
        <f>+O168*200</f>
        <v>200</v>
      </c>
      <c r="S168">
        <v>100</v>
      </c>
    </row>
    <row r="169" spans="1:24" hidden="1" x14ac:dyDescent="0.3">
      <c r="A169">
        <v>106557</v>
      </c>
      <c r="B169" t="s">
        <v>738</v>
      </c>
      <c r="C169" s="4" t="s">
        <v>652</v>
      </c>
      <c r="D169" t="s">
        <v>742</v>
      </c>
      <c r="E169">
        <v>1993</v>
      </c>
      <c r="F169">
        <v>9739528001</v>
      </c>
      <c r="G169" s="4" t="s">
        <v>13</v>
      </c>
      <c r="H169">
        <v>1</v>
      </c>
      <c r="I169" t="s">
        <v>15</v>
      </c>
      <c r="J169" t="s">
        <v>13</v>
      </c>
      <c r="K169" t="s">
        <v>25</v>
      </c>
      <c r="N169" s="4" t="s">
        <v>13</v>
      </c>
      <c r="O169">
        <v>1</v>
      </c>
      <c r="R169">
        <v>200</v>
      </c>
      <c r="S169">
        <v>100</v>
      </c>
      <c r="X169" s="12" t="s">
        <v>794</v>
      </c>
    </row>
    <row r="170" spans="1:24" hidden="1" x14ac:dyDescent="0.3">
      <c r="C170" s="4" t="s">
        <v>652</v>
      </c>
      <c r="D170" s="12" t="s">
        <v>781</v>
      </c>
      <c r="E170" s="12">
        <v>1993</v>
      </c>
      <c r="F170" s="12">
        <v>9940653345</v>
      </c>
      <c r="G170" s="4" t="s">
        <v>13</v>
      </c>
      <c r="H170">
        <v>1</v>
      </c>
      <c r="I170" s="4" t="s">
        <v>141</v>
      </c>
      <c r="J170" s="4" t="s">
        <v>25</v>
      </c>
      <c r="K170" s="4" t="s">
        <v>25</v>
      </c>
      <c r="N170" s="4" t="s">
        <v>13</v>
      </c>
      <c r="O170">
        <v>1</v>
      </c>
      <c r="Q170" s="7">
        <v>43065</v>
      </c>
      <c r="R170">
        <v>200</v>
      </c>
    </row>
    <row r="171" spans="1:24" hidden="1" x14ac:dyDescent="0.3">
      <c r="C171" s="4" t="s">
        <v>652</v>
      </c>
      <c r="D171" s="12" t="s">
        <v>783</v>
      </c>
      <c r="E171" s="12">
        <v>1993</v>
      </c>
      <c r="F171" s="12">
        <v>9962665116</v>
      </c>
      <c r="G171" s="4" t="s">
        <v>13</v>
      </c>
      <c r="H171">
        <v>10</v>
      </c>
      <c r="I171" s="4" t="s">
        <v>15</v>
      </c>
      <c r="J171" s="4" t="s">
        <v>25</v>
      </c>
      <c r="K171" s="4" t="s">
        <v>25</v>
      </c>
      <c r="N171" s="4" t="s">
        <v>13</v>
      </c>
      <c r="O171">
        <v>7</v>
      </c>
      <c r="P171">
        <v>3</v>
      </c>
      <c r="Q171" s="7">
        <v>43065</v>
      </c>
      <c r="R171">
        <f>200*7</f>
        <v>1400</v>
      </c>
      <c r="S171">
        <v>100</v>
      </c>
    </row>
    <row r="172" spans="1:24" hidden="1" x14ac:dyDescent="0.3">
      <c r="A172">
        <v>126555</v>
      </c>
      <c r="C172" s="4" t="s">
        <v>652</v>
      </c>
      <c r="D172" t="s">
        <v>657</v>
      </c>
      <c r="E172">
        <v>1993</v>
      </c>
      <c r="G172" t="s">
        <v>13</v>
      </c>
      <c r="H172">
        <v>1</v>
      </c>
      <c r="I172" t="s">
        <v>141</v>
      </c>
      <c r="J172" t="s">
        <v>25</v>
      </c>
      <c r="K172" t="s">
        <v>25</v>
      </c>
      <c r="M172" t="s">
        <v>685</v>
      </c>
      <c r="N172" t="s">
        <v>13</v>
      </c>
      <c r="O172">
        <v>1</v>
      </c>
      <c r="Q172" t="s">
        <v>694</v>
      </c>
      <c r="R172">
        <v>200</v>
      </c>
      <c r="S172">
        <v>100</v>
      </c>
    </row>
    <row r="173" spans="1:24" hidden="1" x14ac:dyDescent="0.3">
      <c r="C173" s="4" t="s">
        <v>652</v>
      </c>
      <c r="D173" s="12" t="s">
        <v>792</v>
      </c>
      <c r="E173" s="12">
        <v>1994</v>
      </c>
      <c r="F173" s="12">
        <v>9025382625</v>
      </c>
      <c r="G173" s="4" t="s">
        <v>13</v>
      </c>
      <c r="H173">
        <v>1</v>
      </c>
      <c r="I173" s="4" t="s">
        <v>141</v>
      </c>
      <c r="J173" s="4" t="s">
        <v>25</v>
      </c>
      <c r="K173" s="4" t="s">
        <v>25</v>
      </c>
      <c r="N173" s="4" t="s">
        <v>13</v>
      </c>
      <c r="O173">
        <v>1</v>
      </c>
      <c r="Q173" s="7">
        <v>43065</v>
      </c>
      <c r="R173">
        <f>+O173*200</f>
        <v>200</v>
      </c>
      <c r="S173">
        <v>100</v>
      </c>
    </row>
    <row r="174" spans="1:24" hidden="1" x14ac:dyDescent="0.3">
      <c r="A174">
        <v>184078</v>
      </c>
      <c r="B174" t="s">
        <v>738</v>
      </c>
      <c r="C174" s="4" t="s">
        <v>652</v>
      </c>
      <c r="D174" t="s">
        <v>563</v>
      </c>
      <c r="E174">
        <v>1995</v>
      </c>
      <c r="F174">
        <v>9092599733</v>
      </c>
      <c r="G174" s="4" t="s">
        <v>13</v>
      </c>
      <c r="H174">
        <v>1</v>
      </c>
      <c r="I174" t="s">
        <v>141</v>
      </c>
      <c r="J174" t="s">
        <v>25</v>
      </c>
      <c r="K174" t="s">
        <v>25</v>
      </c>
      <c r="N174" t="s">
        <v>13</v>
      </c>
      <c r="O174">
        <v>1</v>
      </c>
      <c r="R174">
        <v>200</v>
      </c>
      <c r="S174">
        <v>100</v>
      </c>
    </row>
    <row r="175" spans="1:24" x14ac:dyDescent="0.3">
      <c r="A175">
        <v>168079</v>
      </c>
      <c r="B175" s="2">
        <v>43048.929119780092</v>
      </c>
      <c r="C175" s="2" t="s">
        <v>651</v>
      </c>
      <c r="D175" s="3" t="s">
        <v>235</v>
      </c>
      <c r="E175" s="3">
        <v>1995</v>
      </c>
      <c r="F175" s="3">
        <v>9500174488</v>
      </c>
      <c r="G175" s="3" t="s">
        <v>13</v>
      </c>
      <c r="H175" s="3" t="s">
        <v>40</v>
      </c>
      <c r="I175" s="3" t="s">
        <v>141</v>
      </c>
      <c r="J175" s="3" t="s">
        <v>13</v>
      </c>
      <c r="K175" s="3" t="s">
        <v>13</v>
      </c>
      <c r="L175" s="3" t="s">
        <v>237</v>
      </c>
      <c r="M175" s="3" t="s">
        <v>17</v>
      </c>
      <c r="N175" s="3" t="s">
        <v>13</v>
      </c>
      <c r="O175">
        <v>1</v>
      </c>
      <c r="R175">
        <v>200</v>
      </c>
      <c r="S175">
        <v>100</v>
      </c>
    </row>
    <row r="176" spans="1:24" hidden="1" x14ac:dyDescent="0.3">
      <c r="A176">
        <v>101463</v>
      </c>
      <c r="B176" t="s">
        <v>738</v>
      </c>
      <c r="C176" s="4" t="s">
        <v>652</v>
      </c>
      <c r="D176" t="s">
        <v>746</v>
      </c>
      <c r="E176">
        <v>1995</v>
      </c>
      <c r="G176" s="4" t="s">
        <v>13</v>
      </c>
      <c r="H176">
        <v>1</v>
      </c>
      <c r="I176" t="s">
        <v>141</v>
      </c>
      <c r="J176" t="s">
        <v>25</v>
      </c>
      <c r="K176" t="s">
        <v>25</v>
      </c>
      <c r="N176" s="4" t="s">
        <v>13</v>
      </c>
      <c r="O176">
        <v>1</v>
      </c>
      <c r="R176">
        <v>200</v>
      </c>
      <c r="S176">
        <v>100</v>
      </c>
    </row>
    <row r="177" spans="1:19" hidden="1" x14ac:dyDescent="0.3">
      <c r="C177" s="4" t="s">
        <v>652</v>
      </c>
      <c r="D177" s="12" t="s">
        <v>785</v>
      </c>
      <c r="E177" s="12">
        <v>1995</v>
      </c>
      <c r="F177" s="12"/>
      <c r="G177" s="4" t="s">
        <v>13</v>
      </c>
      <c r="H177">
        <v>2</v>
      </c>
      <c r="I177" s="4" t="s">
        <v>141</v>
      </c>
      <c r="J177" s="4" t="s">
        <v>25</v>
      </c>
      <c r="K177" s="4" t="s">
        <v>25</v>
      </c>
      <c r="N177" s="4" t="s">
        <v>13</v>
      </c>
      <c r="O177">
        <v>2</v>
      </c>
      <c r="Q177" s="7">
        <v>43065</v>
      </c>
      <c r="R177">
        <f>+O177*200</f>
        <v>400</v>
      </c>
      <c r="S177">
        <v>100</v>
      </c>
    </row>
    <row r="178" spans="1:19" hidden="1" x14ac:dyDescent="0.3">
      <c r="A178">
        <v>172773</v>
      </c>
      <c r="B178" t="s">
        <v>738</v>
      </c>
      <c r="C178" s="4" t="s">
        <v>652</v>
      </c>
      <c r="D178" t="s">
        <v>757</v>
      </c>
      <c r="E178">
        <v>1995</v>
      </c>
      <c r="F178">
        <v>9543055521</v>
      </c>
      <c r="G178" s="4" t="s">
        <v>13</v>
      </c>
      <c r="H178">
        <v>2</v>
      </c>
      <c r="I178" t="s">
        <v>141</v>
      </c>
      <c r="J178" t="s">
        <v>25</v>
      </c>
      <c r="K178" t="s">
        <v>25</v>
      </c>
      <c r="N178" t="s">
        <v>13</v>
      </c>
      <c r="O178">
        <v>3</v>
      </c>
      <c r="R178">
        <v>900</v>
      </c>
      <c r="S178">
        <v>100</v>
      </c>
    </row>
    <row r="179" spans="1:19" x14ac:dyDescent="0.3">
      <c r="A179">
        <v>107408</v>
      </c>
      <c r="B179" s="2">
        <v>43047.774098229165</v>
      </c>
      <c r="C179" s="2" t="s">
        <v>651</v>
      </c>
      <c r="D179" s="3" t="s">
        <v>70</v>
      </c>
      <c r="E179" s="3">
        <v>1995</v>
      </c>
      <c r="F179" s="3">
        <v>9710733174</v>
      </c>
      <c r="G179" s="3" t="s">
        <v>13</v>
      </c>
      <c r="H179" s="3" t="s">
        <v>72</v>
      </c>
      <c r="I179" s="3" t="s">
        <v>35</v>
      </c>
      <c r="J179" s="3" t="s">
        <v>13</v>
      </c>
      <c r="K179" s="3" t="s">
        <v>13</v>
      </c>
      <c r="L179" s="3" t="s">
        <v>73</v>
      </c>
      <c r="M179" s="3" t="s">
        <v>59</v>
      </c>
      <c r="N179" s="3" t="s">
        <v>13</v>
      </c>
      <c r="O179">
        <v>2</v>
      </c>
      <c r="P179">
        <v>2</v>
      </c>
      <c r="R179">
        <v>400</v>
      </c>
      <c r="S179">
        <v>100</v>
      </c>
    </row>
    <row r="180" spans="1:19" hidden="1" x14ac:dyDescent="0.3">
      <c r="A180">
        <v>142159</v>
      </c>
      <c r="B180" s="2">
        <v>43064.474815254631</v>
      </c>
      <c r="C180" s="2" t="s">
        <v>651</v>
      </c>
      <c r="D180" s="3" t="s">
        <v>70</v>
      </c>
      <c r="E180" s="3">
        <v>1995</v>
      </c>
      <c r="F180" s="3">
        <v>9710733174</v>
      </c>
      <c r="G180" s="3" t="s">
        <v>13</v>
      </c>
      <c r="H180" s="3" t="s">
        <v>625</v>
      </c>
      <c r="I180" s="3" t="s">
        <v>15</v>
      </c>
      <c r="J180" s="3" t="s">
        <v>13</v>
      </c>
      <c r="K180" s="3" t="s">
        <v>25</v>
      </c>
      <c r="L180" s="3" t="s">
        <v>73</v>
      </c>
      <c r="M180" s="3" t="s">
        <v>59</v>
      </c>
      <c r="N180" s="3" t="s">
        <v>13</v>
      </c>
      <c r="O180">
        <v>2</v>
      </c>
      <c r="P180">
        <v>4</v>
      </c>
      <c r="Q180" s="3" t="s">
        <v>738</v>
      </c>
      <c r="R180">
        <v>400</v>
      </c>
      <c r="S180">
        <v>100</v>
      </c>
    </row>
    <row r="181" spans="1:19" hidden="1" x14ac:dyDescent="0.3">
      <c r="C181" s="4" t="s">
        <v>652</v>
      </c>
      <c r="D181" s="12" t="s">
        <v>790</v>
      </c>
      <c r="E181" s="12">
        <v>1997</v>
      </c>
      <c r="F181" s="12"/>
      <c r="G181" s="4" t="s">
        <v>13</v>
      </c>
      <c r="H181">
        <v>1</v>
      </c>
      <c r="I181" s="4" t="s">
        <v>141</v>
      </c>
      <c r="J181" s="4" t="s">
        <v>25</v>
      </c>
      <c r="K181" s="4" t="s">
        <v>25</v>
      </c>
      <c r="N181" s="4" t="s">
        <v>13</v>
      </c>
      <c r="O181">
        <v>1</v>
      </c>
      <c r="Q181" s="7">
        <v>43065</v>
      </c>
      <c r="R181">
        <f>+O181*200</f>
        <v>200</v>
      </c>
      <c r="S181">
        <v>100</v>
      </c>
    </row>
    <row r="182" spans="1:19" hidden="1" x14ac:dyDescent="0.3">
      <c r="A182">
        <v>134385</v>
      </c>
      <c r="B182" t="s">
        <v>738</v>
      </c>
      <c r="C182" s="4" t="s">
        <v>652</v>
      </c>
      <c r="D182" t="s">
        <v>758</v>
      </c>
      <c r="E182">
        <v>1997</v>
      </c>
      <c r="F182">
        <v>9789894197</v>
      </c>
      <c r="G182" t="s">
        <v>13</v>
      </c>
      <c r="H182">
        <v>1</v>
      </c>
      <c r="I182" t="s">
        <v>141</v>
      </c>
      <c r="J182" t="s">
        <v>25</v>
      </c>
      <c r="K182" t="s">
        <v>25</v>
      </c>
      <c r="N182" t="s">
        <v>13</v>
      </c>
      <c r="O182">
        <v>1</v>
      </c>
      <c r="R182">
        <v>200</v>
      </c>
      <c r="S182">
        <v>100</v>
      </c>
    </row>
    <row r="183" spans="1:19" hidden="1" x14ac:dyDescent="0.3">
      <c r="A183">
        <v>191301</v>
      </c>
      <c r="C183" s="4" t="s">
        <v>652</v>
      </c>
      <c r="D183" s="4" t="s">
        <v>660</v>
      </c>
      <c r="E183">
        <v>2003</v>
      </c>
      <c r="G183" s="4" t="s">
        <v>13</v>
      </c>
      <c r="H183">
        <v>2</v>
      </c>
      <c r="I183" t="s">
        <v>141</v>
      </c>
      <c r="J183" s="4" t="s">
        <v>25</v>
      </c>
      <c r="K183" s="4" t="s">
        <v>25</v>
      </c>
      <c r="N183" s="4" t="s">
        <v>13</v>
      </c>
      <c r="O183">
        <v>2</v>
      </c>
      <c r="Q183" s="4" t="s">
        <v>695</v>
      </c>
      <c r="R183">
        <v>200</v>
      </c>
      <c r="S183">
        <v>100</v>
      </c>
    </row>
    <row r="184" spans="1:19" hidden="1" x14ac:dyDescent="0.3">
      <c r="A184">
        <v>135638</v>
      </c>
      <c r="C184" s="4" t="s">
        <v>652</v>
      </c>
      <c r="D184" s="4" t="s">
        <v>661</v>
      </c>
      <c r="E184">
        <v>2007</v>
      </c>
      <c r="G184" s="4" t="s">
        <v>13</v>
      </c>
      <c r="H184">
        <v>2</v>
      </c>
      <c r="I184" t="s">
        <v>141</v>
      </c>
      <c r="J184" s="4" t="s">
        <v>25</v>
      </c>
      <c r="K184" s="4" t="s">
        <v>25</v>
      </c>
      <c r="N184" s="4" t="s">
        <v>13</v>
      </c>
      <c r="O184">
        <v>2</v>
      </c>
      <c r="Q184" s="4" t="s">
        <v>695</v>
      </c>
      <c r="R184">
        <v>400</v>
      </c>
      <c r="S184">
        <v>100</v>
      </c>
    </row>
    <row r="185" spans="1:19" hidden="1" x14ac:dyDescent="0.3">
      <c r="A185">
        <v>102111</v>
      </c>
      <c r="C185" s="4" t="s">
        <v>652</v>
      </c>
      <c r="D185" t="s">
        <v>732</v>
      </c>
      <c r="G185" s="4" t="s">
        <v>13</v>
      </c>
      <c r="H185">
        <v>1</v>
      </c>
      <c r="I185" t="s">
        <v>141</v>
      </c>
      <c r="J185" t="s">
        <v>25</v>
      </c>
      <c r="K185" t="s">
        <v>25</v>
      </c>
      <c r="N185" s="4" t="s">
        <v>13</v>
      </c>
      <c r="O185">
        <v>1</v>
      </c>
      <c r="R185">
        <v>200</v>
      </c>
      <c r="S185">
        <v>100</v>
      </c>
    </row>
    <row r="186" spans="1:19" hidden="1" x14ac:dyDescent="0.3">
      <c r="C186" s="4" t="s">
        <v>652</v>
      </c>
      <c r="D186" s="12" t="s">
        <v>786</v>
      </c>
      <c r="E186" s="12"/>
      <c r="F186" s="12"/>
      <c r="G186" s="4" t="s">
        <v>13</v>
      </c>
      <c r="H186">
        <v>2</v>
      </c>
      <c r="I186" s="4" t="s">
        <v>141</v>
      </c>
      <c r="J186" s="4" t="s">
        <v>25</v>
      </c>
      <c r="K186" s="4" t="s">
        <v>25</v>
      </c>
      <c r="N186" s="4" t="s">
        <v>13</v>
      </c>
      <c r="O186">
        <v>2</v>
      </c>
      <c r="Q186" s="7">
        <v>43065</v>
      </c>
      <c r="R186">
        <f>+O186*200</f>
        <v>400</v>
      </c>
      <c r="S186">
        <v>100</v>
      </c>
    </row>
    <row r="187" spans="1:19" hidden="1" x14ac:dyDescent="0.3">
      <c r="A187">
        <v>144251</v>
      </c>
      <c r="C187" s="4" t="s">
        <v>652</v>
      </c>
      <c r="D187" s="4" t="s">
        <v>675</v>
      </c>
      <c r="G187" s="4" t="s">
        <v>13</v>
      </c>
      <c r="H187">
        <v>1</v>
      </c>
      <c r="I187" t="s">
        <v>141</v>
      </c>
      <c r="J187" s="4" t="s">
        <v>25</v>
      </c>
      <c r="K187" s="4" t="s">
        <v>25</v>
      </c>
      <c r="M187" s="4" t="s">
        <v>59</v>
      </c>
      <c r="N187" s="4" t="s">
        <v>13</v>
      </c>
      <c r="O187">
        <v>1</v>
      </c>
      <c r="Q187" s="4" t="s">
        <v>697</v>
      </c>
      <c r="R187">
        <v>200</v>
      </c>
      <c r="S187">
        <v>100</v>
      </c>
    </row>
    <row r="188" spans="1:19" hidden="1" x14ac:dyDescent="0.3">
      <c r="A188">
        <v>108995</v>
      </c>
      <c r="C188" s="4" t="s">
        <v>652</v>
      </c>
      <c r="D188" s="4" t="s">
        <v>662</v>
      </c>
      <c r="G188" s="4" t="s">
        <v>13</v>
      </c>
      <c r="H188">
        <v>2</v>
      </c>
      <c r="I188" t="s">
        <v>141</v>
      </c>
      <c r="J188" s="4" t="s">
        <v>25</v>
      </c>
      <c r="K188" s="4" t="s">
        <v>25</v>
      </c>
      <c r="N188" s="4" t="s">
        <v>13</v>
      </c>
      <c r="O188">
        <v>2</v>
      </c>
      <c r="Q188" s="4" t="s">
        <v>695</v>
      </c>
      <c r="R188">
        <v>200</v>
      </c>
      <c r="S188">
        <v>100</v>
      </c>
    </row>
    <row r="189" spans="1:19" hidden="1" x14ac:dyDescent="0.3">
      <c r="C189" s="4" t="s">
        <v>652</v>
      </c>
      <c r="D189" s="12" t="s">
        <v>789</v>
      </c>
      <c r="E189" s="12"/>
      <c r="F189" s="12"/>
      <c r="G189" s="4" t="s">
        <v>13</v>
      </c>
      <c r="H189">
        <v>1</v>
      </c>
      <c r="I189" s="4" t="s">
        <v>141</v>
      </c>
      <c r="J189" s="4" t="s">
        <v>25</v>
      </c>
      <c r="K189" s="4" t="s">
        <v>25</v>
      </c>
      <c r="N189" s="4" t="s">
        <v>13</v>
      </c>
      <c r="O189">
        <v>1</v>
      </c>
      <c r="Q189" s="7">
        <v>43065</v>
      </c>
      <c r="S189">
        <v>100</v>
      </c>
    </row>
    <row r="190" spans="1:19" hidden="1" x14ac:dyDescent="0.3">
      <c r="A190">
        <v>136482</v>
      </c>
      <c r="C190" s="4" t="s">
        <v>652</v>
      </c>
      <c r="D190" s="4" t="s">
        <v>663</v>
      </c>
      <c r="G190" s="4" t="s">
        <v>13</v>
      </c>
      <c r="H190">
        <v>1</v>
      </c>
      <c r="I190" t="s">
        <v>141</v>
      </c>
      <c r="J190" s="4" t="s">
        <v>25</v>
      </c>
      <c r="K190" s="4" t="s">
        <v>25</v>
      </c>
      <c r="N190" s="4" t="s">
        <v>13</v>
      </c>
      <c r="O190">
        <v>1</v>
      </c>
      <c r="Q190" s="4" t="s">
        <v>695</v>
      </c>
      <c r="R190">
        <v>200</v>
      </c>
    </row>
    <row r="192" spans="1:19" x14ac:dyDescent="0.3">
      <c r="O192" s="8">
        <f>SUM(O2:O190)</f>
        <v>243</v>
      </c>
      <c r="P192" s="8">
        <f>SUM(P2:P190)</f>
        <v>17</v>
      </c>
      <c r="R192">
        <f t="shared" ref="R192:S192" si="5">SUM(R2:R190)</f>
        <v>48700</v>
      </c>
      <c r="S192">
        <f t="shared" si="5"/>
        <v>18600</v>
      </c>
    </row>
  </sheetData>
  <autoFilter ref="A1:X190">
    <filterColumn colId="9">
      <filters blank="1">
        <filter val="Yes"/>
      </filters>
    </filterColumn>
    <filterColumn colId="10">
      <filters blank="1">
        <filter val="Yes"/>
      </filters>
    </filterColumn>
    <filterColumn colId="23">
      <filters blank="1"/>
    </filterColumn>
  </autoFilter>
  <sortState ref="A2:T190">
    <sortCondition ref="E2:E190"/>
    <sortCondition ref="D2:D190"/>
  </sortState>
  <hyperlinks>
    <hyperlink ref="L10" r:id="rId1"/>
    <hyperlink ref="L60" r:id="rId2"/>
  </hyperlinks>
  <printOptions gridLines="1"/>
  <pageMargins left="0.23622047244094491" right="0.23622047244094491" top="0.74803149606299213" bottom="0.74803149606299213" header="0.31496062992125984" footer="0.31496062992125984"/>
  <pageSetup paperSize="9" scale="90" fitToHeight="0" orientation="landscape" r:id="rId3"/>
  <headerFooter>
    <oddHeader>&amp;C&amp;"Arial,Bold Italic"&amp;20Pre- Registered Paid</oddHeader>
    <oddFooter>&amp;C&amp;P of &amp;N</oddFooter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opLeftCell="A42" workbookViewId="0">
      <selection activeCell="A55" sqref="A55"/>
    </sheetView>
  </sheetViews>
  <sheetFormatPr defaultRowHeight="12" x14ac:dyDescent="0.2"/>
  <cols>
    <col min="1" max="1" width="7.85546875" style="13" customWidth="1"/>
    <col min="2" max="2" width="18.140625" style="13" hidden="1" customWidth="1"/>
    <col min="3" max="3" width="12.85546875" style="13" customWidth="1"/>
    <col min="4" max="4" width="20.7109375" style="13" customWidth="1"/>
    <col min="5" max="5" width="9.140625" style="13"/>
    <col min="6" max="6" width="13" style="13" customWidth="1"/>
    <col min="7" max="7" width="11.28515625" style="13" hidden="1" customWidth="1"/>
    <col min="8" max="8" width="0" style="13" hidden="1" customWidth="1"/>
    <col min="9" max="9" width="9.140625" style="13" customWidth="1"/>
    <col min="10" max="11" width="9.85546875" style="13" customWidth="1"/>
    <col min="12" max="12" width="34.28515625" style="13" hidden="1" customWidth="1"/>
    <col min="13" max="13" width="32.140625" style="13" hidden="1" customWidth="1"/>
    <col min="14" max="14" width="5" style="13" customWidth="1"/>
    <col min="15" max="15" width="6.140625" style="13" customWidth="1"/>
    <col min="16" max="16" width="7" style="13" bestFit="1" customWidth="1"/>
    <col min="17" max="17" width="7.28515625" style="13" hidden="1" customWidth="1"/>
    <col min="18" max="18" width="9.140625" style="13"/>
    <col min="19" max="19" width="11" style="13" customWidth="1"/>
    <col min="20" max="20" width="14.85546875" style="13" customWidth="1"/>
    <col min="21" max="16384" width="9.140625" style="13"/>
  </cols>
  <sheetData>
    <row r="1" spans="1:20" ht="59.25" customHeight="1" x14ac:dyDescent="0.2">
      <c r="A1" s="13" t="s">
        <v>649</v>
      </c>
      <c r="B1" s="13" t="s">
        <v>0</v>
      </c>
      <c r="C1" s="13" t="s">
        <v>650</v>
      </c>
      <c r="D1" s="14" t="s">
        <v>1</v>
      </c>
      <c r="E1" s="14" t="s">
        <v>2</v>
      </c>
      <c r="F1" s="14" t="s">
        <v>3</v>
      </c>
      <c r="G1" s="15" t="s">
        <v>4</v>
      </c>
      <c r="H1" s="14" t="s">
        <v>5</v>
      </c>
      <c r="I1" s="14" t="s">
        <v>6</v>
      </c>
      <c r="J1" s="15" t="s">
        <v>7</v>
      </c>
      <c r="K1" s="15" t="s">
        <v>8</v>
      </c>
      <c r="L1" s="14" t="s">
        <v>9</v>
      </c>
      <c r="M1" s="14" t="s">
        <v>10</v>
      </c>
      <c r="N1" s="13" t="s">
        <v>687</v>
      </c>
      <c r="O1" s="13" t="s">
        <v>688</v>
      </c>
      <c r="P1" s="13" t="s">
        <v>689</v>
      </c>
      <c r="Q1" s="15" t="s">
        <v>690</v>
      </c>
      <c r="R1" s="15" t="s">
        <v>691</v>
      </c>
      <c r="S1" s="15" t="s">
        <v>692</v>
      </c>
      <c r="T1" s="15" t="s">
        <v>763</v>
      </c>
    </row>
    <row r="2" spans="1:20" x14ac:dyDescent="0.2">
      <c r="A2" s="13">
        <v>292604</v>
      </c>
      <c r="B2" s="16">
        <v>43048.947513472223</v>
      </c>
      <c r="C2" s="16" t="s">
        <v>651</v>
      </c>
      <c r="D2" s="14" t="s">
        <v>243</v>
      </c>
      <c r="E2" s="14">
        <v>1957</v>
      </c>
      <c r="F2" s="14" t="s">
        <v>244</v>
      </c>
      <c r="G2" s="14" t="s">
        <v>13</v>
      </c>
      <c r="H2" s="14" t="s">
        <v>245</v>
      </c>
      <c r="I2" s="14" t="s">
        <v>41</v>
      </c>
      <c r="J2" s="14" t="s">
        <v>13</v>
      </c>
      <c r="K2" s="14" t="s">
        <v>25</v>
      </c>
      <c r="L2" s="14" t="s">
        <v>246</v>
      </c>
      <c r="M2" s="14" t="s">
        <v>247</v>
      </c>
      <c r="N2" s="14" t="s">
        <v>25</v>
      </c>
      <c r="O2" s="13">
        <v>1</v>
      </c>
    </row>
    <row r="3" spans="1:20" x14ac:dyDescent="0.2">
      <c r="A3" s="13">
        <v>291317</v>
      </c>
      <c r="B3" s="16">
        <v>43051.471701944443</v>
      </c>
      <c r="C3" s="16" t="s">
        <v>651</v>
      </c>
      <c r="D3" s="14" t="s">
        <v>277</v>
      </c>
      <c r="E3" s="14">
        <v>1957</v>
      </c>
      <c r="F3" s="14" t="s">
        <v>278</v>
      </c>
      <c r="G3" s="14" t="s">
        <v>13</v>
      </c>
      <c r="H3" s="14" t="s">
        <v>101</v>
      </c>
      <c r="I3" s="14" t="s">
        <v>279</v>
      </c>
      <c r="J3" s="14" t="s">
        <v>25</v>
      </c>
      <c r="K3" s="14" t="s">
        <v>13</v>
      </c>
      <c r="L3" s="14" t="s">
        <v>280</v>
      </c>
      <c r="M3" s="14" t="s">
        <v>226</v>
      </c>
      <c r="N3" s="14" t="s">
        <v>25</v>
      </c>
      <c r="O3" s="13">
        <v>1</v>
      </c>
    </row>
    <row r="4" spans="1:20" hidden="1" x14ac:dyDescent="0.2">
      <c r="A4" s="13">
        <v>279773</v>
      </c>
      <c r="B4" s="16">
        <v>43051.490976458328</v>
      </c>
      <c r="C4" s="16" t="s">
        <v>651</v>
      </c>
      <c r="D4" s="14" t="s">
        <v>277</v>
      </c>
      <c r="E4" s="14">
        <v>1957</v>
      </c>
      <c r="F4" s="14" t="s">
        <v>281</v>
      </c>
      <c r="G4" s="14" t="s">
        <v>13</v>
      </c>
      <c r="H4" s="14" t="s">
        <v>282</v>
      </c>
      <c r="I4" s="14" t="s">
        <v>279</v>
      </c>
      <c r="J4" s="14" t="s">
        <v>25</v>
      </c>
      <c r="K4" s="14" t="s">
        <v>13</v>
      </c>
      <c r="L4" s="14" t="s">
        <v>280</v>
      </c>
      <c r="M4" s="14" t="s">
        <v>226</v>
      </c>
      <c r="N4" s="14" t="s">
        <v>25</v>
      </c>
      <c r="O4" s="13">
        <v>1</v>
      </c>
    </row>
    <row r="5" spans="1:20" x14ac:dyDescent="0.2">
      <c r="A5" s="13">
        <v>273909</v>
      </c>
      <c r="B5" s="16">
        <v>43060.297700960647</v>
      </c>
      <c r="C5" s="16" t="s">
        <v>651</v>
      </c>
      <c r="D5" s="14" t="s">
        <v>378</v>
      </c>
      <c r="E5" s="14">
        <v>1965</v>
      </c>
      <c r="F5" s="14" t="s">
        <v>379</v>
      </c>
      <c r="G5" s="14" t="s">
        <v>13</v>
      </c>
      <c r="H5" s="14">
        <v>3</v>
      </c>
      <c r="I5" s="14" t="s">
        <v>380</v>
      </c>
      <c r="J5" s="14" t="s">
        <v>25</v>
      </c>
      <c r="K5" s="14" t="s">
        <v>13</v>
      </c>
      <c r="L5" s="14" t="s">
        <v>381</v>
      </c>
      <c r="M5" s="14" t="s">
        <v>17</v>
      </c>
      <c r="N5" s="14" t="s">
        <v>25</v>
      </c>
      <c r="O5" s="13">
        <v>3</v>
      </c>
    </row>
    <row r="6" spans="1:20" x14ac:dyDescent="0.2">
      <c r="A6" s="13">
        <v>250530</v>
      </c>
      <c r="B6" s="16">
        <v>43060.31993125</v>
      </c>
      <c r="C6" s="16" t="s">
        <v>651</v>
      </c>
      <c r="D6" s="14" t="s">
        <v>387</v>
      </c>
      <c r="E6" s="14">
        <v>1966</v>
      </c>
      <c r="F6" s="14" t="s">
        <v>388</v>
      </c>
      <c r="G6" s="14" t="s">
        <v>13</v>
      </c>
      <c r="H6" s="14" t="s">
        <v>101</v>
      </c>
      <c r="I6" s="14" t="s">
        <v>20</v>
      </c>
      <c r="J6" s="14" t="s">
        <v>13</v>
      </c>
      <c r="K6" s="14" t="s">
        <v>25</v>
      </c>
      <c r="L6" s="14" t="s">
        <v>389</v>
      </c>
      <c r="M6" s="14" t="s">
        <v>390</v>
      </c>
      <c r="N6" s="14" t="s">
        <v>25</v>
      </c>
      <c r="O6" s="13">
        <v>1</v>
      </c>
    </row>
    <row r="7" spans="1:20" x14ac:dyDescent="0.2">
      <c r="A7" s="13">
        <v>286224</v>
      </c>
      <c r="B7" s="16">
        <v>43060.717228958332</v>
      </c>
      <c r="C7" s="16" t="s">
        <v>651</v>
      </c>
      <c r="D7" s="14" t="s">
        <v>475</v>
      </c>
      <c r="E7" s="14">
        <v>1967</v>
      </c>
      <c r="F7" s="14" t="s">
        <v>476</v>
      </c>
      <c r="G7" s="14" t="s">
        <v>13</v>
      </c>
      <c r="H7" s="14" t="s">
        <v>101</v>
      </c>
      <c r="I7" s="14" t="s">
        <v>41</v>
      </c>
      <c r="J7" s="14" t="s">
        <v>25</v>
      </c>
      <c r="K7" s="14" t="s">
        <v>25</v>
      </c>
      <c r="L7" s="14" t="s">
        <v>477</v>
      </c>
      <c r="M7" s="14" t="s">
        <v>17</v>
      </c>
      <c r="N7" s="14" t="s">
        <v>25</v>
      </c>
      <c r="O7" s="13">
        <v>1</v>
      </c>
    </row>
    <row r="8" spans="1:20" x14ac:dyDescent="0.2">
      <c r="A8" s="13">
        <v>268025</v>
      </c>
      <c r="B8" s="16">
        <v>43047.799655358795</v>
      </c>
      <c r="C8" s="16" t="s">
        <v>651</v>
      </c>
      <c r="D8" s="14" t="s">
        <v>85</v>
      </c>
      <c r="E8" s="14">
        <v>1969</v>
      </c>
      <c r="F8" s="14" t="s">
        <v>86</v>
      </c>
      <c r="G8" s="14" t="s">
        <v>13</v>
      </c>
      <c r="H8" s="14" t="s">
        <v>87</v>
      </c>
      <c r="I8" s="14" t="s">
        <v>20</v>
      </c>
      <c r="J8" s="14" t="s">
        <v>25</v>
      </c>
      <c r="K8" s="14" t="s">
        <v>25</v>
      </c>
      <c r="L8" s="14" t="s">
        <v>88</v>
      </c>
      <c r="M8" s="14" t="s">
        <v>89</v>
      </c>
      <c r="N8" s="14" t="s">
        <v>25</v>
      </c>
      <c r="O8" s="13">
        <v>1</v>
      </c>
    </row>
    <row r="9" spans="1:20" x14ac:dyDescent="0.2">
      <c r="A9" s="13">
        <v>291285</v>
      </c>
      <c r="B9" s="16">
        <v>43049.712474155094</v>
      </c>
      <c r="C9" s="16" t="s">
        <v>651</v>
      </c>
      <c r="D9" s="14" t="s">
        <v>260</v>
      </c>
      <c r="E9" s="14">
        <v>1971</v>
      </c>
      <c r="F9" s="14" t="s">
        <v>261</v>
      </c>
      <c r="G9" s="14" t="s">
        <v>13</v>
      </c>
      <c r="H9" s="14" t="s">
        <v>101</v>
      </c>
      <c r="I9" s="14" t="s">
        <v>35</v>
      </c>
      <c r="J9" s="14" t="s">
        <v>13</v>
      </c>
      <c r="K9" s="14" t="s">
        <v>25</v>
      </c>
      <c r="L9" s="14" t="s">
        <v>262</v>
      </c>
      <c r="M9" s="14" t="s">
        <v>84</v>
      </c>
      <c r="N9" s="14" t="s">
        <v>25</v>
      </c>
      <c r="O9" s="13">
        <v>1</v>
      </c>
    </row>
    <row r="10" spans="1:20" hidden="1" x14ac:dyDescent="0.2">
      <c r="A10" s="13">
        <v>252251</v>
      </c>
      <c r="B10" s="16">
        <v>43060.585748171296</v>
      </c>
      <c r="C10" s="16" t="s">
        <v>651</v>
      </c>
      <c r="D10" s="14" t="s">
        <v>459</v>
      </c>
      <c r="E10" s="14">
        <v>1971</v>
      </c>
      <c r="F10" s="14" t="s">
        <v>460</v>
      </c>
      <c r="G10" s="14" t="s">
        <v>13</v>
      </c>
      <c r="H10" s="14" t="s">
        <v>461</v>
      </c>
      <c r="I10" s="14" t="s">
        <v>35</v>
      </c>
      <c r="J10" s="14" t="s">
        <v>13</v>
      </c>
      <c r="K10" s="14" t="s">
        <v>25</v>
      </c>
      <c r="L10" s="14" t="s">
        <v>462</v>
      </c>
      <c r="M10" s="14" t="s">
        <v>146</v>
      </c>
      <c r="N10" s="14" t="s">
        <v>25</v>
      </c>
      <c r="O10" s="13">
        <v>1</v>
      </c>
    </row>
    <row r="11" spans="1:20" x14ac:dyDescent="0.2">
      <c r="A11" s="13">
        <v>264774</v>
      </c>
      <c r="B11" s="16">
        <v>43048.423103194444</v>
      </c>
      <c r="C11" s="16" t="s">
        <v>651</v>
      </c>
      <c r="D11" s="14" t="s">
        <v>180</v>
      </c>
      <c r="E11" s="14">
        <v>1972</v>
      </c>
      <c r="F11" s="14" t="s">
        <v>181</v>
      </c>
      <c r="G11" s="14" t="s">
        <v>13</v>
      </c>
      <c r="H11" s="14" t="s">
        <v>182</v>
      </c>
      <c r="I11" s="14" t="s">
        <v>141</v>
      </c>
      <c r="J11" s="14" t="s">
        <v>25</v>
      </c>
      <c r="K11" s="14" t="s">
        <v>13</v>
      </c>
      <c r="L11" s="14" t="s">
        <v>183</v>
      </c>
      <c r="M11" s="14" t="s">
        <v>184</v>
      </c>
      <c r="N11" s="14" t="s">
        <v>25</v>
      </c>
      <c r="O11" s="13">
        <v>1</v>
      </c>
    </row>
    <row r="12" spans="1:20" x14ac:dyDescent="0.2">
      <c r="A12" s="13">
        <v>291545</v>
      </c>
      <c r="B12" s="16">
        <v>43060.997279293981</v>
      </c>
      <c r="C12" s="16" t="s">
        <v>651</v>
      </c>
      <c r="D12" s="14" t="s">
        <v>487</v>
      </c>
      <c r="E12" s="14">
        <v>1974</v>
      </c>
      <c r="F12" s="14" t="s">
        <v>488</v>
      </c>
      <c r="G12" s="14" t="s">
        <v>13</v>
      </c>
      <c r="H12" s="14" t="s">
        <v>40</v>
      </c>
      <c r="I12" s="14" t="s">
        <v>41</v>
      </c>
      <c r="J12" s="14" t="s">
        <v>25</v>
      </c>
      <c r="K12" s="14" t="s">
        <v>25</v>
      </c>
      <c r="L12" s="14" t="s">
        <v>489</v>
      </c>
      <c r="M12" s="14" t="s">
        <v>490</v>
      </c>
      <c r="N12" s="14" t="s">
        <v>25</v>
      </c>
      <c r="O12" s="13">
        <v>1</v>
      </c>
    </row>
    <row r="13" spans="1:20" x14ac:dyDescent="0.2">
      <c r="A13" s="13">
        <v>262149</v>
      </c>
      <c r="B13" s="16">
        <v>43061.51953237268</v>
      </c>
      <c r="C13" s="16" t="s">
        <v>651</v>
      </c>
      <c r="D13" s="14" t="s">
        <v>532</v>
      </c>
      <c r="E13" s="14">
        <v>1979</v>
      </c>
      <c r="F13" s="14">
        <v>919840067489</v>
      </c>
      <c r="G13" s="14" t="s">
        <v>13</v>
      </c>
      <c r="H13" s="14" t="s">
        <v>533</v>
      </c>
      <c r="I13" s="14" t="s">
        <v>534</v>
      </c>
      <c r="J13" s="14" t="s">
        <v>25</v>
      </c>
      <c r="K13" s="14" t="s">
        <v>25</v>
      </c>
      <c r="L13" s="14" t="s">
        <v>535</v>
      </c>
      <c r="M13" s="14" t="s">
        <v>59</v>
      </c>
      <c r="N13" s="14" t="s">
        <v>25</v>
      </c>
      <c r="O13" s="13">
        <v>3</v>
      </c>
    </row>
    <row r="14" spans="1:20" x14ac:dyDescent="0.2">
      <c r="A14" s="13">
        <v>281777</v>
      </c>
      <c r="B14" s="16">
        <v>43060.630497743055</v>
      </c>
      <c r="C14" s="16" t="s">
        <v>651</v>
      </c>
      <c r="D14" s="14" t="s">
        <v>470</v>
      </c>
      <c r="E14" s="14">
        <v>1979</v>
      </c>
      <c r="F14" s="14" t="s">
        <v>471</v>
      </c>
      <c r="G14" s="14" t="s">
        <v>13</v>
      </c>
      <c r="H14" s="14" t="s">
        <v>101</v>
      </c>
      <c r="I14" s="14" t="s">
        <v>41</v>
      </c>
      <c r="J14" s="14" t="s">
        <v>13</v>
      </c>
      <c r="K14" s="14" t="s">
        <v>25</v>
      </c>
      <c r="L14" s="14" t="s">
        <v>472</v>
      </c>
      <c r="M14" s="14" t="s">
        <v>473</v>
      </c>
      <c r="N14" s="14" t="s">
        <v>25</v>
      </c>
      <c r="O14" s="13">
        <v>1</v>
      </c>
    </row>
    <row r="15" spans="1:20" x14ac:dyDescent="0.2">
      <c r="A15" s="13">
        <v>258484</v>
      </c>
      <c r="B15" s="16">
        <v>43060.583295937497</v>
      </c>
      <c r="C15" s="16" t="s">
        <v>651</v>
      </c>
      <c r="D15" s="14" t="s">
        <v>456</v>
      </c>
      <c r="E15" s="14">
        <v>1979</v>
      </c>
      <c r="F15" s="14" t="s">
        <v>457</v>
      </c>
      <c r="G15" s="14" t="s">
        <v>13</v>
      </c>
      <c r="H15" s="14">
        <v>2</v>
      </c>
      <c r="I15" s="14" t="s">
        <v>15</v>
      </c>
      <c r="J15" s="14" t="s">
        <v>25</v>
      </c>
      <c r="K15" s="14" t="s">
        <v>13</v>
      </c>
      <c r="L15" s="14" t="s">
        <v>458</v>
      </c>
      <c r="M15" s="14" t="s">
        <v>59</v>
      </c>
      <c r="N15" s="14" t="s">
        <v>25</v>
      </c>
      <c r="O15" s="13">
        <v>2</v>
      </c>
    </row>
    <row r="16" spans="1:20" x14ac:dyDescent="0.2">
      <c r="A16" s="13">
        <v>286109</v>
      </c>
      <c r="B16" s="16">
        <v>43050.87143162037</v>
      </c>
      <c r="C16" s="16" t="s">
        <v>651</v>
      </c>
      <c r="D16" s="14" t="s">
        <v>272</v>
      </c>
      <c r="E16" s="14">
        <v>1981</v>
      </c>
      <c r="F16" s="14" t="s">
        <v>273</v>
      </c>
      <c r="G16" s="14" t="s">
        <v>13</v>
      </c>
      <c r="H16" s="14" t="s">
        <v>274</v>
      </c>
      <c r="I16" s="14" t="s">
        <v>275</v>
      </c>
      <c r="J16" s="14" t="s">
        <v>25</v>
      </c>
      <c r="K16" s="14" t="s">
        <v>25</v>
      </c>
      <c r="L16" s="14" t="s">
        <v>276</v>
      </c>
      <c r="M16" s="14" t="s">
        <v>59</v>
      </c>
      <c r="N16" s="14" t="s">
        <v>25</v>
      </c>
      <c r="O16" s="13">
        <v>3</v>
      </c>
    </row>
    <row r="17" spans="1:15" x14ac:dyDescent="0.2">
      <c r="A17" s="13">
        <v>271386</v>
      </c>
      <c r="B17" s="16">
        <v>43063.940754791663</v>
      </c>
      <c r="C17" s="16" t="s">
        <v>651</v>
      </c>
      <c r="D17" s="14" t="s">
        <v>617</v>
      </c>
      <c r="E17" s="14">
        <v>1981</v>
      </c>
      <c r="F17" s="14">
        <v>9840218084</v>
      </c>
      <c r="G17" s="14" t="s">
        <v>13</v>
      </c>
      <c r="H17" s="14">
        <v>1</v>
      </c>
      <c r="I17" s="14" t="s">
        <v>15</v>
      </c>
      <c r="J17" s="14" t="s">
        <v>25</v>
      </c>
      <c r="K17" s="14" t="s">
        <v>13</v>
      </c>
      <c r="L17" s="14" t="s">
        <v>618</v>
      </c>
      <c r="M17" s="14" t="s">
        <v>59</v>
      </c>
      <c r="N17" s="14" t="s">
        <v>25</v>
      </c>
      <c r="O17" s="13">
        <v>1</v>
      </c>
    </row>
    <row r="18" spans="1:15" x14ac:dyDescent="0.2">
      <c r="A18" s="13">
        <v>275638</v>
      </c>
      <c r="B18" s="16">
        <v>43049.363256412034</v>
      </c>
      <c r="C18" s="16" t="s">
        <v>651</v>
      </c>
      <c r="D18" s="14" t="s">
        <v>256</v>
      </c>
      <c r="E18" s="14">
        <v>1981</v>
      </c>
      <c r="F18" s="14">
        <v>449789817676</v>
      </c>
      <c r="G18" s="14" t="s">
        <v>13</v>
      </c>
      <c r="H18" s="14" t="s">
        <v>257</v>
      </c>
      <c r="I18" s="14" t="s">
        <v>141</v>
      </c>
      <c r="J18" s="14" t="s">
        <v>25</v>
      </c>
      <c r="K18" s="14" t="s">
        <v>13</v>
      </c>
      <c r="L18" s="14" t="s">
        <v>258</v>
      </c>
      <c r="M18" s="14" t="s">
        <v>259</v>
      </c>
      <c r="N18" s="14" t="s">
        <v>25</v>
      </c>
      <c r="O18" s="13">
        <v>4</v>
      </c>
    </row>
    <row r="19" spans="1:15" x14ac:dyDescent="0.2">
      <c r="A19" s="13">
        <v>253107</v>
      </c>
      <c r="B19" s="16">
        <v>43063.884979050927</v>
      </c>
      <c r="C19" s="16" t="s">
        <v>651</v>
      </c>
      <c r="D19" s="14" t="s">
        <v>611</v>
      </c>
      <c r="E19" s="14">
        <v>1981</v>
      </c>
      <c r="F19" s="14">
        <v>9884421428</v>
      </c>
      <c r="G19" s="14" t="s">
        <v>13</v>
      </c>
      <c r="H19" s="14">
        <v>1</v>
      </c>
      <c r="I19" s="14" t="s">
        <v>141</v>
      </c>
      <c r="J19" s="14" t="s">
        <v>25</v>
      </c>
      <c r="K19" s="14" t="s">
        <v>25</v>
      </c>
      <c r="L19" s="14" t="s">
        <v>612</v>
      </c>
      <c r="M19" s="14" t="s">
        <v>59</v>
      </c>
      <c r="N19" s="14" t="s">
        <v>25</v>
      </c>
      <c r="O19" s="13">
        <v>1</v>
      </c>
    </row>
    <row r="20" spans="1:15" x14ac:dyDescent="0.2">
      <c r="A20" s="13">
        <v>265514</v>
      </c>
      <c r="B20" s="16">
        <v>43063.343677268524</v>
      </c>
      <c r="C20" s="16" t="s">
        <v>651</v>
      </c>
      <c r="D20" s="14" t="s">
        <v>597</v>
      </c>
      <c r="E20" s="14">
        <v>1981</v>
      </c>
      <c r="F20" s="14">
        <v>9445149445</v>
      </c>
      <c r="G20" s="14" t="s">
        <v>13</v>
      </c>
      <c r="H20" s="14" t="s">
        <v>598</v>
      </c>
      <c r="I20" s="14" t="s">
        <v>599</v>
      </c>
      <c r="J20" s="14" t="s">
        <v>25</v>
      </c>
      <c r="K20" s="14" t="s">
        <v>25</v>
      </c>
      <c r="L20" s="14" t="s">
        <v>276</v>
      </c>
      <c r="M20" s="14" t="s">
        <v>59</v>
      </c>
      <c r="N20" s="14" t="s">
        <v>25</v>
      </c>
      <c r="O20" s="13">
        <v>3</v>
      </c>
    </row>
    <row r="21" spans="1:15" x14ac:dyDescent="0.2">
      <c r="A21" s="13">
        <v>265260</v>
      </c>
      <c r="B21" s="16">
        <v>43062.896231331018</v>
      </c>
      <c r="C21" s="16" t="s">
        <v>651</v>
      </c>
      <c r="D21" s="14" t="s">
        <v>581</v>
      </c>
      <c r="E21" s="14">
        <v>1981</v>
      </c>
      <c r="F21" s="14">
        <v>9840328034</v>
      </c>
      <c r="G21" s="14" t="s">
        <v>13</v>
      </c>
      <c r="H21" s="14">
        <v>1</v>
      </c>
      <c r="I21" s="14" t="s">
        <v>13</v>
      </c>
      <c r="J21" s="14" t="s">
        <v>25</v>
      </c>
      <c r="K21" s="14" t="s">
        <v>13</v>
      </c>
      <c r="L21" s="14" t="s">
        <v>582</v>
      </c>
      <c r="M21" s="14" t="s">
        <v>583</v>
      </c>
      <c r="N21" s="14" t="s">
        <v>25</v>
      </c>
      <c r="O21" s="13">
        <v>1</v>
      </c>
    </row>
    <row r="22" spans="1:15" x14ac:dyDescent="0.2">
      <c r="A22" s="13">
        <v>271515</v>
      </c>
      <c r="B22" s="16">
        <v>43063.300783495375</v>
      </c>
      <c r="C22" s="16" t="s">
        <v>651</v>
      </c>
      <c r="D22" s="14" t="s">
        <v>595</v>
      </c>
      <c r="E22" s="14">
        <v>1981</v>
      </c>
      <c r="F22" s="14">
        <v>9884047796</v>
      </c>
      <c r="G22" s="14" t="s">
        <v>13</v>
      </c>
      <c r="H22" s="14" t="s">
        <v>92</v>
      </c>
      <c r="I22" s="14" t="s">
        <v>15</v>
      </c>
      <c r="J22" s="14" t="s">
        <v>25</v>
      </c>
      <c r="K22" s="14" t="s">
        <v>25</v>
      </c>
      <c r="L22" s="14" t="s">
        <v>596</v>
      </c>
      <c r="M22" s="14" t="s">
        <v>59</v>
      </c>
      <c r="N22" s="14" t="s">
        <v>25</v>
      </c>
      <c r="O22" s="13">
        <v>1</v>
      </c>
    </row>
    <row r="23" spans="1:15" x14ac:dyDescent="0.2">
      <c r="A23" s="13">
        <v>261177</v>
      </c>
      <c r="B23" s="16">
        <v>43062.862727418978</v>
      </c>
      <c r="C23" s="16" t="s">
        <v>651</v>
      </c>
      <c r="D23" s="14" t="s">
        <v>574</v>
      </c>
      <c r="E23" s="14">
        <v>1982</v>
      </c>
      <c r="F23" s="14">
        <v>9003024557</v>
      </c>
      <c r="G23" s="14" t="s">
        <v>13</v>
      </c>
      <c r="H23" s="14" t="s">
        <v>101</v>
      </c>
      <c r="I23" s="14" t="s">
        <v>13</v>
      </c>
      <c r="J23" s="14" t="s">
        <v>25</v>
      </c>
      <c r="K23" s="14" t="s">
        <v>25</v>
      </c>
      <c r="L23" s="14" t="s">
        <v>575</v>
      </c>
      <c r="M23" s="14" t="s">
        <v>59</v>
      </c>
      <c r="N23" s="14" t="s">
        <v>25</v>
      </c>
      <c r="O23" s="13">
        <v>1</v>
      </c>
    </row>
    <row r="24" spans="1:15" x14ac:dyDescent="0.2">
      <c r="A24" s="13">
        <v>292837</v>
      </c>
      <c r="B24" s="16">
        <v>43052.521841747686</v>
      </c>
      <c r="C24" s="16" t="s">
        <v>651</v>
      </c>
      <c r="D24" s="14" t="s">
        <v>291</v>
      </c>
      <c r="E24" s="14">
        <v>1982</v>
      </c>
      <c r="F24" s="14" t="s">
        <v>292</v>
      </c>
      <c r="G24" s="14" t="s">
        <v>13</v>
      </c>
      <c r="H24" s="14" t="s">
        <v>101</v>
      </c>
      <c r="I24" s="14" t="s">
        <v>41</v>
      </c>
      <c r="J24" s="14" t="s">
        <v>13</v>
      </c>
      <c r="K24" s="14" t="s">
        <v>25</v>
      </c>
      <c r="L24" s="14" t="s">
        <v>293</v>
      </c>
      <c r="M24" s="14" t="s">
        <v>294</v>
      </c>
      <c r="N24" s="14" t="s">
        <v>25</v>
      </c>
      <c r="O24" s="13">
        <v>1</v>
      </c>
    </row>
    <row r="25" spans="1:15" x14ac:dyDescent="0.2">
      <c r="A25" s="13">
        <v>253833</v>
      </c>
      <c r="B25" s="16">
        <v>43063.949981157406</v>
      </c>
      <c r="C25" s="16" t="s">
        <v>651</v>
      </c>
      <c r="D25" s="14" t="s">
        <v>619</v>
      </c>
      <c r="E25" s="14">
        <v>1982</v>
      </c>
      <c r="F25" s="14">
        <v>9444131988</v>
      </c>
      <c r="G25" s="14" t="s">
        <v>13</v>
      </c>
      <c r="H25" s="14">
        <v>3</v>
      </c>
      <c r="I25" s="14" t="s">
        <v>620</v>
      </c>
      <c r="J25" s="14" t="s">
        <v>25</v>
      </c>
      <c r="K25" s="14" t="s">
        <v>13</v>
      </c>
      <c r="L25" s="14" t="s">
        <v>621</v>
      </c>
      <c r="M25" s="14" t="s">
        <v>59</v>
      </c>
      <c r="N25" s="14" t="s">
        <v>25</v>
      </c>
      <c r="O25" s="13">
        <v>3</v>
      </c>
    </row>
    <row r="26" spans="1:15" x14ac:dyDescent="0.2">
      <c r="A26" s="13">
        <v>288799</v>
      </c>
      <c r="B26" s="16">
        <v>43055.773026932875</v>
      </c>
      <c r="C26" s="16" t="s">
        <v>651</v>
      </c>
      <c r="D26" s="14" t="s">
        <v>330</v>
      </c>
      <c r="E26" s="14">
        <v>1982</v>
      </c>
      <c r="F26" s="14" t="s">
        <v>331</v>
      </c>
      <c r="G26" s="14" t="s">
        <v>13</v>
      </c>
      <c r="H26" s="14" t="s">
        <v>101</v>
      </c>
      <c r="I26" s="14" t="s">
        <v>141</v>
      </c>
      <c r="J26" s="14" t="s">
        <v>25</v>
      </c>
      <c r="K26" s="14" t="s">
        <v>25</v>
      </c>
      <c r="L26" s="14" t="s">
        <v>332</v>
      </c>
      <c r="M26" s="14" t="s">
        <v>17</v>
      </c>
      <c r="N26" s="14" t="s">
        <v>25</v>
      </c>
      <c r="O26" s="13">
        <v>1</v>
      </c>
    </row>
    <row r="27" spans="1:15" x14ac:dyDescent="0.2">
      <c r="A27" s="13">
        <v>295518</v>
      </c>
      <c r="B27" s="16">
        <v>43048.302860983793</v>
      </c>
      <c r="C27" s="16" t="s">
        <v>651</v>
      </c>
      <c r="D27" s="14" t="s">
        <v>162</v>
      </c>
      <c r="E27" s="14">
        <v>1983</v>
      </c>
      <c r="F27" s="14" t="s">
        <v>163</v>
      </c>
      <c r="G27" s="14" t="s">
        <v>13</v>
      </c>
      <c r="H27" s="14">
        <v>2</v>
      </c>
      <c r="I27" s="14" t="s">
        <v>20</v>
      </c>
      <c r="J27" s="14" t="s">
        <v>13</v>
      </c>
      <c r="K27" s="14" t="s">
        <v>25</v>
      </c>
      <c r="L27" s="14" t="s">
        <v>164</v>
      </c>
      <c r="M27" s="14" t="s">
        <v>146</v>
      </c>
      <c r="N27" s="14" t="s">
        <v>25</v>
      </c>
      <c r="O27" s="13">
        <v>2</v>
      </c>
    </row>
    <row r="28" spans="1:15" x14ac:dyDescent="0.2">
      <c r="A28" s="13">
        <v>295418</v>
      </c>
      <c r="B28" s="16">
        <v>43050.766600115741</v>
      </c>
      <c r="C28" s="16" t="s">
        <v>651</v>
      </c>
      <c r="D28" s="14" t="s">
        <v>266</v>
      </c>
      <c r="E28" s="14">
        <v>1983</v>
      </c>
      <c r="F28" s="14" t="s">
        <v>267</v>
      </c>
      <c r="G28" s="14" t="s">
        <v>13</v>
      </c>
      <c r="H28" s="14">
        <v>0</v>
      </c>
      <c r="I28" s="14" t="s">
        <v>35</v>
      </c>
      <c r="J28" s="14" t="s">
        <v>25</v>
      </c>
      <c r="K28" s="14" t="s">
        <v>25</v>
      </c>
      <c r="L28" s="14" t="s">
        <v>268</v>
      </c>
      <c r="M28" s="14" t="s">
        <v>193</v>
      </c>
      <c r="N28" s="14" t="s">
        <v>25</v>
      </c>
      <c r="O28" s="13">
        <v>1</v>
      </c>
    </row>
    <row r="29" spans="1:15" x14ac:dyDescent="0.2">
      <c r="A29" s="13">
        <v>258596</v>
      </c>
      <c r="B29" s="16">
        <v>43050.766604375</v>
      </c>
      <c r="C29" s="16" t="s">
        <v>651</v>
      </c>
      <c r="D29" s="14" t="s">
        <v>266</v>
      </c>
      <c r="E29" s="14">
        <v>1983</v>
      </c>
      <c r="F29" s="14" t="s">
        <v>267</v>
      </c>
      <c r="G29" s="14" t="s">
        <v>13</v>
      </c>
      <c r="H29" s="14">
        <v>0</v>
      </c>
      <c r="I29" s="14" t="s">
        <v>35</v>
      </c>
      <c r="J29" s="14" t="s">
        <v>25</v>
      </c>
      <c r="K29" s="14" t="s">
        <v>25</v>
      </c>
      <c r="L29" s="14" t="s">
        <v>268</v>
      </c>
      <c r="M29" s="14" t="s">
        <v>193</v>
      </c>
      <c r="N29" s="14" t="s">
        <v>25</v>
      </c>
      <c r="O29" s="13">
        <v>1</v>
      </c>
    </row>
    <row r="30" spans="1:15" x14ac:dyDescent="0.2">
      <c r="A30" s="13">
        <v>269871</v>
      </c>
      <c r="B30" s="16">
        <v>43062.957323900468</v>
      </c>
      <c r="C30" s="16" t="s">
        <v>651</v>
      </c>
      <c r="D30" s="14" t="s">
        <v>591</v>
      </c>
      <c r="E30" s="14">
        <v>1984</v>
      </c>
      <c r="F30" s="14">
        <v>9884078601</v>
      </c>
      <c r="G30" s="14" t="s">
        <v>13</v>
      </c>
      <c r="H30" s="14">
        <v>1</v>
      </c>
      <c r="I30" s="14" t="s">
        <v>13</v>
      </c>
      <c r="J30" s="14" t="s">
        <v>25</v>
      </c>
      <c r="K30" s="14" t="s">
        <v>13</v>
      </c>
      <c r="L30" s="14" t="s">
        <v>592</v>
      </c>
      <c r="M30" s="14" t="s">
        <v>59</v>
      </c>
      <c r="N30" s="14" t="s">
        <v>25</v>
      </c>
      <c r="O30" s="13">
        <v>1</v>
      </c>
    </row>
    <row r="31" spans="1:15" x14ac:dyDescent="0.2">
      <c r="A31" s="13">
        <v>258294</v>
      </c>
      <c r="B31" s="16">
        <v>43061.605912800922</v>
      </c>
      <c r="C31" s="16" t="s">
        <v>651</v>
      </c>
      <c r="D31" s="14" t="s">
        <v>547</v>
      </c>
      <c r="E31" s="14">
        <v>1984</v>
      </c>
      <c r="F31" s="14">
        <v>7904914616</v>
      </c>
      <c r="G31" s="14" t="s">
        <v>13</v>
      </c>
      <c r="H31" s="14" t="s">
        <v>101</v>
      </c>
      <c r="I31" s="14" t="s">
        <v>35</v>
      </c>
      <c r="J31" s="14" t="s">
        <v>25</v>
      </c>
      <c r="K31" s="14" t="s">
        <v>25</v>
      </c>
      <c r="L31" s="14" t="s">
        <v>548</v>
      </c>
      <c r="M31" s="14" t="s">
        <v>59</v>
      </c>
      <c r="N31" s="14" t="s">
        <v>25</v>
      </c>
      <c r="O31" s="13">
        <v>1</v>
      </c>
    </row>
    <row r="32" spans="1:15" x14ac:dyDescent="0.2">
      <c r="A32" s="13">
        <v>271279</v>
      </c>
      <c r="B32" s="16">
        <v>43064.538817662033</v>
      </c>
      <c r="C32" s="16" t="s">
        <v>651</v>
      </c>
      <c r="D32" s="14" t="s">
        <v>638</v>
      </c>
      <c r="E32" s="14">
        <v>1984</v>
      </c>
      <c r="F32" s="14">
        <v>9445903770</v>
      </c>
      <c r="G32" s="14" t="s">
        <v>13</v>
      </c>
      <c r="H32" s="14" t="s">
        <v>639</v>
      </c>
      <c r="I32" s="14" t="s">
        <v>15</v>
      </c>
      <c r="J32" s="14" t="s">
        <v>25</v>
      </c>
      <c r="K32" s="14" t="s">
        <v>13</v>
      </c>
      <c r="L32" s="14" t="s">
        <v>640</v>
      </c>
      <c r="M32" s="14" t="s">
        <v>59</v>
      </c>
      <c r="N32" s="14" t="s">
        <v>25</v>
      </c>
      <c r="O32" s="13">
        <v>1</v>
      </c>
    </row>
    <row r="33" spans="1:15" x14ac:dyDescent="0.2">
      <c r="A33" s="13">
        <v>276766</v>
      </c>
      <c r="B33" s="16">
        <v>43052.526836377314</v>
      </c>
      <c r="C33" s="16" t="s">
        <v>651</v>
      </c>
      <c r="D33" s="14" t="s">
        <v>295</v>
      </c>
      <c r="E33" s="14">
        <v>1985</v>
      </c>
      <c r="F33" s="14" t="s">
        <v>296</v>
      </c>
      <c r="G33" s="14" t="s">
        <v>13</v>
      </c>
      <c r="H33" s="14">
        <v>1</v>
      </c>
      <c r="I33" s="14" t="s">
        <v>297</v>
      </c>
      <c r="J33" s="14" t="s">
        <v>13</v>
      </c>
      <c r="K33" s="14" t="s">
        <v>25</v>
      </c>
      <c r="L33" s="14" t="s">
        <v>298</v>
      </c>
      <c r="M33" s="14" t="s">
        <v>84</v>
      </c>
      <c r="N33" s="14" t="s">
        <v>25</v>
      </c>
      <c r="O33" s="13">
        <v>1</v>
      </c>
    </row>
    <row r="34" spans="1:15" x14ac:dyDescent="0.2">
      <c r="A34" s="13">
        <v>251082</v>
      </c>
      <c r="B34" s="16">
        <v>43052.532887673609</v>
      </c>
      <c r="C34" s="16" t="s">
        <v>651</v>
      </c>
      <c r="D34" s="14" t="s">
        <v>303</v>
      </c>
      <c r="E34" s="14">
        <v>1985</v>
      </c>
      <c r="F34" s="14" t="s">
        <v>296</v>
      </c>
      <c r="G34" s="14" t="s">
        <v>13</v>
      </c>
      <c r="H34" s="14">
        <v>1</v>
      </c>
      <c r="I34" s="14" t="s">
        <v>304</v>
      </c>
      <c r="J34" s="14" t="s">
        <v>13</v>
      </c>
      <c r="K34" s="14" t="s">
        <v>25</v>
      </c>
      <c r="L34" s="14" t="s">
        <v>298</v>
      </c>
      <c r="M34" s="14" t="s">
        <v>59</v>
      </c>
      <c r="N34" s="14" t="s">
        <v>25</v>
      </c>
      <c r="O34" s="13">
        <v>1</v>
      </c>
    </row>
    <row r="35" spans="1:15" x14ac:dyDescent="0.2">
      <c r="A35" s="13">
        <v>279848</v>
      </c>
      <c r="B35" s="16">
        <v>43052.531692743054</v>
      </c>
      <c r="C35" s="16" t="s">
        <v>651</v>
      </c>
      <c r="D35" s="14" t="s">
        <v>302</v>
      </c>
      <c r="E35" s="14">
        <v>1985</v>
      </c>
      <c r="F35" s="14" t="s">
        <v>300</v>
      </c>
      <c r="G35" s="14" t="s">
        <v>13</v>
      </c>
      <c r="H35" s="14">
        <v>1</v>
      </c>
      <c r="I35" s="14" t="s">
        <v>297</v>
      </c>
      <c r="J35" s="14" t="s">
        <v>13</v>
      </c>
      <c r="K35" s="14" t="s">
        <v>25</v>
      </c>
      <c r="L35" s="14" t="s">
        <v>298</v>
      </c>
      <c r="M35" s="14" t="s">
        <v>59</v>
      </c>
      <c r="N35" s="14" t="s">
        <v>25</v>
      </c>
      <c r="O35" s="13">
        <v>1</v>
      </c>
    </row>
    <row r="36" spans="1:15" x14ac:dyDescent="0.2">
      <c r="A36" s="13">
        <v>298175</v>
      </c>
      <c r="B36" s="16">
        <v>43060.410266273146</v>
      </c>
      <c r="C36" s="16" t="s">
        <v>651</v>
      </c>
      <c r="D36" s="14" t="s">
        <v>421</v>
      </c>
      <c r="E36" s="14">
        <v>1985</v>
      </c>
      <c r="F36" s="14" t="s">
        <v>422</v>
      </c>
      <c r="G36" s="14" t="s">
        <v>13</v>
      </c>
      <c r="H36" s="14" t="s">
        <v>423</v>
      </c>
      <c r="I36" s="14" t="s">
        <v>41</v>
      </c>
      <c r="J36" s="14" t="s">
        <v>13</v>
      </c>
      <c r="K36" s="14" t="s">
        <v>25</v>
      </c>
      <c r="L36" s="14" t="s">
        <v>424</v>
      </c>
      <c r="M36" s="14" t="s">
        <v>146</v>
      </c>
      <c r="N36" s="14" t="s">
        <v>25</v>
      </c>
      <c r="O36" s="13">
        <v>1</v>
      </c>
    </row>
    <row r="37" spans="1:15" x14ac:dyDescent="0.2">
      <c r="A37" s="13">
        <v>280581</v>
      </c>
      <c r="B37" s="16">
        <v>43060.657915162039</v>
      </c>
      <c r="C37" s="16" t="s">
        <v>651</v>
      </c>
      <c r="D37" s="14" t="s">
        <v>474</v>
      </c>
      <c r="E37" s="14">
        <v>1985</v>
      </c>
      <c r="F37" s="14" t="s">
        <v>422</v>
      </c>
      <c r="G37" s="14" t="s">
        <v>13</v>
      </c>
      <c r="H37" s="14" t="s">
        <v>423</v>
      </c>
      <c r="I37" s="14" t="s">
        <v>41</v>
      </c>
      <c r="J37" s="14" t="s">
        <v>13</v>
      </c>
      <c r="K37" s="14" t="s">
        <v>25</v>
      </c>
      <c r="L37" s="14" t="s">
        <v>424</v>
      </c>
      <c r="M37" s="14" t="s">
        <v>146</v>
      </c>
      <c r="N37" s="14" t="s">
        <v>25</v>
      </c>
      <c r="O37" s="13">
        <v>1</v>
      </c>
    </row>
    <row r="38" spans="1:15" x14ac:dyDescent="0.2">
      <c r="A38" s="13">
        <v>266273</v>
      </c>
      <c r="B38" s="16">
        <v>43062.931200173611</v>
      </c>
      <c r="C38" s="16" t="s">
        <v>651</v>
      </c>
      <c r="D38" s="14" t="s">
        <v>587</v>
      </c>
      <c r="E38" s="14">
        <v>1985</v>
      </c>
      <c r="F38" s="14">
        <v>9444018560</v>
      </c>
      <c r="G38" s="14" t="s">
        <v>13</v>
      </c>
      <c r="H38" s="14" t="s">
        <v>101</v>
      </c>
      <c r="I38" s="14" t="s">
        <v>35</v>
      </c>
      <c r="J38" s="14" t="s">
        <v>25</v>
      </c>
      <c r="K38" s="14" t="s">
        <v>13</v>
      </c>
      <c r="L38" s="14" t="s">
        <v>588</v>
      </c>
      <c r="M38" s="14" t="s">
        <v>59</v>
      </c>
      <c r="N38" s="14" t="s">
        <v>25</v>
      </c>
      <c r="O38" s="13">
        <v>1</v>
      </c>
    </row>
    <row r="39" spans="1:15" x14ac:dyDescent="0.2">
      <c r="A39" s="13">
        <v>255547</v>
      </c>
      <c r="B39" s="16">
        <v>43052.530180821763</v>
      </c>
      <c r="C39" s="16" t="s">
        <v>651</v>
      </c>
      <c r="D39" s="14" t="s">
        <v>299</v>
      </c>
      <c r="E39" s="14">
        <v>1985</v>
      </c>
      <c r="F39" s="14" t="s">
        <v>300</v>
      </c>
      <c r="G39" s="14" t="s">
        <v>13</v>
      </c>
      <c r="H39" s="14">
        <v>1</v>
      </c>
      <c r="I39" s="14" t="s">
        <v>297</v>
      </c>
      <c r="J39" s="14" t="s">
        <v>13</v>
      </c>
      <c r="K39" s="14" t="s">
        <v>25</v>
      </c>
      <c r="L39" s="14" t="s">
        <v>301</v>
      </c>
      <c r="M39" s="14" t="s">
        <v>59</v>
      </c>
      <c r="N39" s="14" t="s">
        <v>25</v>
      </c>
      <c r="O39" s="13">
        <v>1</v>
      </c>
    </row>
    <row r="40" spans="1:15" x14ac:dyDescent="0.2">
      <c r="A40" s="13">
        <v>296455</v>
      </c>
      <c r="B40" s="16">
        <v>43057.670314872681</v>
      </c>
      <c r="C40" s="16" t="s">
        <v>651</v>
      </c>
      <c r="D40" s="14" t="s">
        <v>355</v>
      </c>
      <c r="E40" s="14">
        <v>1986</v>
      </c>
      <c r="F40" s="14" t="s">
        <v>356</v>
      </c>
      <c r="G40" s="14" t="s">
        <v>13</v>
      </c>
      <c r="H40" s="14">
        <v>1</v>
      </c>
      <c r="I40" s="14" t="s">
        <v>35</v>
      </c>
      <c r="J40" s="14" t="s">
        <v>25</v>
      </c>
      <c r="K40" s="14" t="s">
        <v>13</v>
      </c>
      <c r="L40" s="14" t="s">
        <v>357</v>
      </c>
      <c r="M40" s="14" t="s">
        <v>59</v>
      </c>
      <c r="N40" s="14" t="s">
        <v>25</v>
      </c>
      <c r="O40" s="13">
        <v>1</v>
      </c>
    </row>
    <row r="41" spans="1:15" x14ac:dyDescent="0.2">
      <c r="A41" s="13">
        <v>262207</v>
      </c>
      <c r="B41" s="16">
        <v>43060.33114318287</v>
      </c>
      <c r="C41" s="16" t="s">
        <v>651</v>
      </c>
      <c r="D41" s="14" t="s">
        <v>397</v>
      </c>
      <c r="E41" s="14">
        <v>1987</v>
      </c>
      <c r="F41" s="14" t="s">
        <v>398</v>
      </c>
      <c r="G41" s="14" t="s">
        <v>13</v>
      </c>
      <c r="H41" s="14" t="s">
        <v>101</v>
      </c>
      <c r="I41" s="14" t="s">
        <v>35</v>
      </c>
      <c r="J41" s="14" t="s">
        <v>25</v>
      </c>
      <c r="K41" s="14" t="s">
        <v>13</v>
      </c>
      <c r="L41" s="14" t="s">
        <v>399</v>
      </c>
      <c r="M41" s="14" t="s">
        <v>400</v>
      </c>
      <c r="N41" s="14" t="s">
        <v>25</v>
      </c>
      <c r="O41" s="13">
        <v>1</v>
      </c>
    </row>
    <row r="42" spans="1:15" x14ac:dyDescent="0.2">
      <c r="A42" s="13">
        <v>265875</v>
      </c>
      <c r="B42" s="16">
        <v>43063.467357060188</v>
      </c>
      <c r="C42" s="16" t="s">
        <v>651</v>
      </c>
      <c r="D42" s="14" t="s">
        <v>600</v>
      </c>
      <c r="E42" s="14">
        <v>1988</v>
      </c>
      <c r="F42" s="14">
        <v>9885032015</v>
      </c>
      <c r="G42" s="14" t="s">
        <v>13</v>
      </c>
      <c r="H42" s="14">
        <v>2</v>
      </c>
      <c r="I42" s="14" t="s">
        <v>13</v>
      </c>
      <c r="J42" s="14" t="s">
        <v>25</v>
      </c>
      <c r="K42" s="14" t="s">
        <v>13</v>
      </c>
      <c r="L42" s="14" t="s">
        <v>601</v>
      </c>
      <c r="M42" s="14" t="s">
        <v>602</v>
      </c>
      <c r="N42" s="14" t="s">
        <v>25</v>
      </c>
      <c r="O42" s="13">
        <v>2</v>
      </c>
    </row>
    <row r="43" spans="1:15" x14ac:dyDescent="0.2">
      <c r="A43" s="13">
        <v>273955</v>
      </c>
      <c r="B43" s="16">
        <v>43060.464688043983</v>
      </c>
      <c r="C43" s="16" t="s">
        <v>651</v>
      </c>
      <c r="D43" s="14" t="s">
        <v>436</v>
      </c>
      <c r="E43" s="14">
        <v>1988</v>
      </c>
      <c r="F43" s="14" t="s">
        <v>437</v>
      </c>
      <c r="G43" s="14" t="s">
        <v>13</v>
      </c>
      <c r="H43" s="14">
        <v>2</v>
      </c>
      <c r="I43" s="14" t="s">
        <v>438</v>
      </c>
      <c r="J43" s="14" t="s">
        <v>25</v>
      </c>
      <c r="K43" s="14" t="s">
        <v>13</v>
      </c>
      <c r="L43" s="14" t="s">
        <v>439</v>
      </c>
      <c r="M43" s="14" t="s">
        <v>84</v>
      </c>
      <c r="N43" s="14" t="s">
        <v>25</v>
      </c>
      <c r="O43" s="13">
        <v>2</v>
      </c>
    </row>
    <row r="44" spans="1:15" x14ac:dyDescent="0.2">
      <c r="A44" s="13">
        <v>292305</v>
      </c>
      <c r="B44" s="16">
        <v>43063.886776435189</v>
      </c>
      <c r="C44" s="16" t="s">
        <v>651</v>
      </c>
      <c r="D44" s="14" t="s">
        <v>613</v>
      </c>
      <c r="E44" s="14">
        <v>1988</v>
      </c>
      <c r="F44" s="14">
        <v>9941917866</v>
      </c>
      <c r="G44" s="14" t="s">
        <v>13</v>
      </c>
      <c r="H44" s="14" t="s">
        <v>40</v>
      </c>
      <c r="I44" s="14" t="s">
        <v>141</v>
      </c>
      <c r="J44" s="14" t="s">
        <v>25</v>
      </c>
      <c r="K44" s="14" t="s">
        <v>25</v>
      </c>
      <c r="L44" s="14" t="s">
        <v>614</v>
      </c>
      <c r="M44" s="14" t="s">
        <v>59</v>
      </c>
      <c r="N44" s="14" t="s">
        <v>25</v>
      </c>
      <c r="O44" s="13">
        <v>1</v>
      </c>
    </row>
    <row r="45" spans="1:15" x14ac:dyDescent="0.2">
      <c r="A45" s="13">
        <v>281800</v>
      </c>
      <c r="B45" s="16">
        <v>43062.9331337037</v>
      </c>
      <c r="C45" s="16" t="s">
        <v>651</v>
      </c>
      <c r="D45" s="14" t="s">
        <v>589</v>
      </c>
      <c r="E45" s="14">
        <v>1988</v>
      </c>
      <c r="F45" s="14">
        <v>9840117000</v>
      </c>
      <c r="G45" s="14" t="s">
        <v>13</v>
      </c>
      <c r="H45" s="14" t="s">
        <v>101</v>
      </c>
      <c r="I45" s="14" t="s">
        <v>20</v>
      </c>
      <c r="J45" s="14" t="s">
        <v>13</v>
      </c>
      <c r="K45" s="14" t="s">
        <v>25</v>
      </c>
      <c r="L45" s="14" t="s">
        <v>590</v>
      </c>
      <c r="M45" s="14" t="s">
        <v>59</v>
      </c>
      <c r="N45" s="14" t="s">
        <v>25</v>
      </c>
      <c r="O45" s="13">
        <v>1</v>
      </c>
    </row>
    <row r="46" spans="1:15" x14ac:dyDescent="0.2">
      <c r="A46" s="13">
        <v>275608</v>
      </c>
      <c r="B46" s="16">
        <v>43061.572465474535</v>
      </c>
      <c r="C46" s="16" t="s">
        <v>651</v>
      </c>
      <c r="D46" s="14" t="s">
        <v>539</v>
      </c>
      <c r="E46" s="14">
        <v>1989</v>
      </c>
      <c r="F46" s="14">
        <v>9840057055</v>
      </c>
      <c r="G46" s="14" t="s">
        <v>13</v>
      </c>
      <c r="H46" s="14" t="s">
        <v>540</v>
      </c>
      <c r="I46" s="14" t="s">
        <v>484</v>
      </c>
      <c r="J46" s="14" t="s">
        <v>25</v>
      </c>
      <c r="K46" s="14" t="s">
        <v>13</v>
      </c>
      <c r="L46" s="14" t="s">
        <v>541</v>
      </c>
      <c r="M46" s="14" t="s">
        <v>59</v>
      </c>
      <c r="N46" s="14" t="s">
        <v>25</v>
      </c>
      <c r="O46" s="13">
        <v>1</v>
      </c>
    </row>
    <row r="47" spans="1:15" x14ac:dyDescent="0.2">
      <c r="A47" s="13">
        <v>292410</v>
      </c>
      <c r="B47" s="16">
        <v>43048.088361712958</v>
      </c>
      <c r="C47" s="16" t="s">
        <v>651</v>
      </c>
      <c r="D47" s="14" t="s">
        <v>151</v>
      </c>
      <c r="E47" s="14">
        <v>1991</v>
      </c>
      <c r="F47" s="14" t="s">
        <v>152</v>
      </c>
      <c r="G47" s="14" t="s">
        <v>13</v>
      </c>
      <c r="H47" s="14">
        <v>1</v>
      </c>
      <c r="I47" s="14" t="s">
        <v>153</v>
      </c>
      <c r="J47" s="14" t="s">
        <v>25</v>
      </c>
      <c r="K47" s="14" t="s">
        <v>25</v>
      </c>
      <c r="L47" s="14" t="s">
        <v>154</v>
      </c>
      <c r="M47" s="14" t="s">
        <v>59</v>
      </c>
      <c r="N47" s="14" t="s">
        <v>25</v>
      </c>
      <c r="O47" s="13">
        <v>1</v>
      </c>
    </row>
    <row r="48" spans="1:15" x14ac:dyDescent="0.2">
      <c r="A48" s="13">
        <v>271826</v>
      </c>
      <c r="B48" s="16">
        <v>43061.65546731482</v>
      </c>
      <c r="C48" s="16" t="s">
        <v>651</v>
      </c>
      <c r="D48" s="14" t="s">
        <v>151</v>
      </c>
      <c r="E48" s="14">
        <v>1991</v>
      </c>
      <c r="F48" s="14">
        <v>9840716164</v>
      </c>
      <c r="G48" s="14" t="s">
        <v>13</v>
      </c>
      <c r="H48" s="14">
        <v>1</v>
      </c>
      <c r="I48" s="14" t="s">
        <v>153</v>
      </c>
      <c r="J48" s="14" t="s">
        <v>25</v>
      </c>
      <c r="K48" s="14" t="s">
        <v>13</v>
      </c>
      <c r="L48" s="14" t="s">
        <v>559</v>
      </c>
      <c r="M48" s="14" t="s">
        <v>84</v>
      </c>
      <c r="N48" s="14" t="s">
        <v>25</v>
      </c>
      <c r="O48" s="13">
        <v>1</v>
      </c>
    </row>
    <row r="49" spans="1:16" x14ac:dyDescent="0.2">
      <c r="A49" s="13">
        <v>294168</v>
      </c>
      <c r="B49" s="16">
        <v>43048.420464016206</v>
      </c>
      <c r="C49" s="16" t="s">
        <v>651</v>
      </c>
      <c r="D49" s="14" t="s">
        <v>172</v>
      </c>
      <c r="E49" s="14">
        <v>1992</v>
      </c>
      <c r="F49" s="14" t="s">
        <v>173</v>
      </c>
      <c r="G49" s="14" t="s">
        <v>13</v>
      </c>
      <c r="H49" s="14">
        <v>1</v>
      </c>
      <c r="I49" s="14" t="s">
        <v>174</v>
      </c>
      <c r="J49" s="14" t="s">
        <v>25</v>
      </c>
      <c r="K49" s="14" t="s">
        <v>25</v>
      </c>
      <c r="L49" s="14" t="s">
        <v>175</v>
      </c>
      <c r="M49" s="14" t="s">
        <v>176</v>
      </c>
      <c r="N49" s="14" t="s">
        <v>25</v>
      </c>
      <c r="O49" s="13">
        <v>1</v>
      </c>
    </row>
    <row r="50" spans="1:16" x14ac:dyDescent="0.2">
      <c r="A50" s="13">
        <v>296062</v>
      </c>
      <c r="B50" s="16">
        <v>43048.421286006946</v>
      </c>
      <c r="C50" s="16" t="s">
        <v>651</v>
      </c>
      <c r="D50" s="14" t="s">
        <v>177</v>
      </c>
      <c r="E50" s="14">
        <v>1992</v>
      </c>
      <c r="F50" s="14" t="s">
        <v>178</v>
      </c>
      <c r="G50" s="14" t="s">
        <v>13</v>
      </c>
      <c r="H50" s="14">
        <v>1</v>
      </c>
      <c r="I50" s="14" t="s">
        <v>35</v>
      </c>
      <c r="J50" s="14" t="s">
        <v>25</v>
      </c>
      <c r="K50" s="14" t="s">
        <v>25</v>
      </c>
      <c r="L50" s="14" t="s">
        <v>179</v>
      </c>
      <c r="M50" s="14" t="s">
        <v>176</v>
      </c>
      <c r="N50" s="14" t="s">
        <v>25</v>
      </c>
      <c r="O50" s="13">
        <v>1</v>
      </c>
    </row>
    <row r="51" spans="1:16" x14ac:dyDescent="0.2">
      <c r="A51" s="13">
        <v>252563</v>
      </c>
      <c r="B51" s="16">
        <v>43048.262768483793</v>
      </c>
      <c r="C51" s="16" t="s">
        <v>651</v>
      </c>
      <c r="D51" s="14" t="s">
        <v>159</v>
      </c>
      <c r="E51" s="14">
        <v>1993</v>
      </c>
      <c r="F51" s="14" t="s">
        <v>160</v>
      </c>
      <c r="G51" s="14" t="s">
        <v>13</v>
      </c>
      <c r="H51" s="14">
        <v>3</v>
      </c>
      <c r="I51" s="14" t="s">
        <v>41</v>
      </c>
      <c r="J51" s="14" t="s">
        <v>25</v>
      </c>
      <c r="K51" s="14" t="s">
        <v>13</v>
      </c>
      <c r="L51" s="14" t="s">
        <v>161</v>
      </c>
      <c r="M51" s="14" t="s">
        <v>17</v>
      </c>
      <c r="N51" s="14" t="s">
        <v>25</v>
      </c>
      <c r="O51" s="13">
        <v>3</v>
      </c>
    </row>
    <row r="52" spans="1:16" x14ac:dyDescent="0.2">
      <c r="A52" s="13">
        <v>250447</v>
      </c>
      <c r="B52" s="16">
        <v>43062.490614548609</v>
      </c>
      <c r="C52" s="16" t="s">
        <v>651</v>
      </c>
      <c r="D52" s="14" t="s">
        <v>563</v>
      </c>
      <c r="E52" s="14">
        <v>1995</v>
      </c>
      <c r="F52" s="14">
        <v>9092599733</v>
      </c>
      <c r="G52" s="14" t="s">
        <v>13</v>
      </c>
      <c r="H52" s="14" t="s">
        <v>564</v>
      </c>
      <c r="I52" s="14" t="s">
        <v>35</v>
      </c>
      <c r="J52" s="14" t="s">
        <v>25</v>
      </c>
      <c r="K52" s="14" t="s">
        <v>25</v>
      </c>
      <c r="L52" s="14" t="s">
        <v>565</v>
      </c>
      <c r="M52" s="14" t="s">
        <v>59</v>
      </c>
      <c r="N52" s="14" t="s">
        <v>25</v>
      </c>
      <c r="O52" s="13">
        <v>1</v>
      </c>
      <c r="P52" s="13">
        <v>2</v>
      </c>
    </row>
    <row r="53" spans="1:16" x14ac:dyDescent="0.2">
      <c r="A53" s="13">
        <v>251935</v>
      </c>
      <c r="B53" s="16">
        <v>43062.484621307871</v>
      </c>
      <c r="C53" s="16" t="s">
        <v>651</v>
      </c>
      <c r="D53" s="14" t="s">
        <v>561</v>
      </c>
      <c r="E53" s="14">
        <v>1996</v>
      </c>
      <c r="F53" s="14">
        <v>9790990990</v>
      </c>
      <c r="G53" s="14" t="s">
        <v>13</v>
      </c>
      <c r="H53" s="14" t="s">
        <v>562</v>
      </c>
      <c r="I53" s="14" t="s">
        <v>438</v>
      </c>
      <c r="J53" s="14" t="s">
        <v>25</v>
      </c>
      <c r="K53" s="14" t="s">
        <v>13</v>
      </c>
      <c r="L53" s="14" t="s">
        <v>420</v>
      </c>
      <c r="M53" s="14" t="s">
        <v>84</v>
      </c>
      <c r="N53" s="14" t="s">
        <v>25</v>
      </c>
      <c r="O53" s="13">
        <v>1</v>
      </c>
      <c r="P53" s="13">
        <v>1</v>
      </c>
    </row>
    <row r="54" spans="1:16" x14ac:dyDescent="0.2">
      <c r="A54" s="13">
        <v>280699</v>
      </c>
      <c r="B54" s="16">
        <v>43060.405688437502</v>
      </c>
      <c r="C54" s="16" t="s">
        <v>651</v>
      </c>
      <c r="D54" s="14" t="s">
        <v>417</v>
      </c>
      <c r="E54" s="14">
        <v>1996</v>
      </c>
      <c r="F54" s="14" t="s">
        <v>418</v>
      </c>
      <c r="G54" s="14" t="s">
        <v>13</v>
      </c>
      <c r="H54" s="14" t="s">
        <v>419</v>
      </c>
      <c r="I54" s="14" t="s">
        <v>35</v>
      </c>
      <c r="J54" s="14" t="s">
        <v>25</v>
      </c>
      <c r="K54" s="14" t="s">
        <v>13</v>
      </c>
      <c r="L54" s="14" t="s">
        <v>420</v>
      </c>
      <c r="M54" s="14" t="s">
        <v>17</v>
      </c>
      <c r="N54" s="14" t="s">
        <v>25</v>
      </c>
      <c r="O54" s="13">
        <v>1</v>
      </c>
      <c r="P54" s="13">
        <v>1</v>
      </c>
    </row>
    <row r="55" spans="1:16" x14ac:dyDescent="0.2">
      <c r="A55" s="13">
        <v>258213</v>
      </c>
      <c r="B55" s="16">
        <v>43059.791392546293</v>
      </c>
      <c r="C55" s="16" t="s">
        <v>651</v>
      </c>
      <c r="D55" s="14" t="s">
        <v>373</v>
      </c>
      <c r="E55" s="14">
        <v>1996</v>
      </c>
      <c r="F55" s="14" t="s">
        <v>374</v>
      </c>
      <c r="G55" s="14" t="s">
        <v>13</v>
      </c>
      <c r="H55" s="14" t="s">
        <v>375</v>
      </c>
      <c r="I55" s="14" t="s">
        <v>376</v>
      </c>
      <c r="J55" s="14" t="s">
        <v>25</v>
      </c>
      <c r="K55" s="14" t="s">
        <v>25</v>
      </c>
      <c r="L55" s="14" t="s">
        <v>377</v>
      </c>
      <c r="M55" s="14" t="s">
        <v>89</v>
      </c>
      <c r="N55" s="14" t="s">
        <v>25</v>
      </c>
      <c r="O55" s="13">
        <v>3</v>
      </c>
      <c r="P55" s="13">
        <v>1</v>
      </c>
    </row>
    <row r="56" spans="1:16" x14ac:dyDescent="0.2">
      <c r="A56" s="13">
        <v>264732</v>
      </c>
      <c r="B56" s="16">
        <v>43060.361138113425</v>
      </c>
      <c r="C56" s="16" t="s">
        <v>651</v>
      </c>
      <c r="D56" s="14" t="s">
        <v>401</v>
      </c>
      <c r="E56" s="14">
        <v>1999</v>
      </c>
      <c r="F56" s="14" t="s">
        <v>402</v>
      </c>
      <c r="G56" s="14" t="s">
        <v>13</v>
      </c>
      <c r="H56" s="14" t="s">
        <v>403</v>
      </c>
      <c r="I56" s="14" t="s">
        <v>35</v>
      </c>
      <c r="J56" s="14" t="s">
        <v>13</v>
      </c>
      <c r="K56" s="14" t="s">
        <v>25</v>
      </c>
      <c r="L56" s="14" t="s">
        <v>404</v>
      </c>
      <c r="M56" s="14" t="s">
        <v>17</v>
      </c>
      <c r="N56" s="14" t="s">
        <v>25</v>
      </c>
      <c r="O56" s="13">
        <v>1</v>
      </c>
      <c r="P56" s="13">
        <v>1</v>
      </c>
    </row>
    <row r="57" spans="1:16" x14ac:dyDescent="0.2">
      <c r="A57" s="13">
        <v>294778</v>
      </c>
      <c r="B57" s="16">
        <v>43048.894039664352</v>
      </c>
      <c r="C57" s="16" t="s">
        <v>651</v>
      </c>
      <c r="D57" s="14" t="s">
        <v>227</v>
      </c>
      <c r="E57" s="14">
        <v>1999</v>
      </c>
      <c r="F57" s="14" t="s">
        <v>228</v>
      </c>
      <c r="G57" s="14" t="s">
        <v>13</v>
      </c>
      <c r="H57" s="14">
        <v>1</v>
      </c>
      <c r="I57" s="14" t="s">
        <v>41</v>
      </c>
      <c r="J57" s="14" t="s">
        <v>25</v>
      </c>
      <c r="K57" s="14" t="s">
        <v>13</v>
      </c>
      <c r="L57" s="14" t="s">
        <v>229</v>
      </c>
      <c r="M57" s="14" t="s">
        <v>230</v>
      </c>
      <c r="N57" s="14" t="s">
        <v>25</v>
      </c>
      <c r="O57" s="13">
        <v>1</v>
      </c>
    </row>
    <row r="58" spans="1:16" x14ac:dyDescent="0.2">
      <c r="A58" s="13">
        <v>292981</v>
      </c>
      <c r="B58" s="16">
        <v>43060.371461527779</v>
      </c>
      <c r="C58" s="16" t="s">
        <v>651</v>
      </c>
      <c r="D58" s="14" t="s">
        <v>408</v>
      </c>
      <c r="E58" s="14">
        <v>1999</v>
      </c>
      <c r="F58" s="14" t="s">
        <v>409</v>
      </c>
      <c r="G58" s="14" t="s">
        <v>13</v>
      </c>
      <c r="H58" s="14">
        <v>2</v>
      </c>
      <c r="I58" s="14" t="s">
        <v>41</v>
      </c>
      <c r="J58" s="14" t="s">
        <v>25</v>
      </c>
      <c r="K58" s="14" t="s">
        <v>25</v>
      </c>
      <c r="L58" s="14" t="s">
        <v>410</v>
      </c>
      <c r="M58" s="14" t="s">
        <v>17</v>
      </c>
      <c r="N58" s="14" t="s">
        <v>25</v>
      </c>
      <c r="O58" s="13">
        <v>2</v>
      </c>
    </row>
    <row r="59" spans="1:16" x14ac:dyDescent="0.2">
      <c r="A59" s="13">
        <v>258236</v>
      </c>
      <c r="B59" s="16">
        <v>43054.345514618057</v>
      </c>
      <c r="C59" s="16" t="s">
        <v>651</v>
      </c>
      <c r="D59" s="14" t="s">
        <v>314</v>
      </c>
      <c r="E59" s="14">
        <v>2002</v>
      </c>
      <c r="F59" s="14" t="s">
        <v>315</v>
      </c>
      <c r="G59" s="14" t="s">
        <v>13</v>
      </c>
      <c r="H59" s="14">
        <v>1</v>
      </c>
      <c r="I59" s="14" t="s">
        <v>15</v>
      </c>
      <c r="J59" s="14" t="s">
        <v>25</v>
      </c>
      <c r="K59" s="14" t="s">
        <v>13</v>
      </c>
      <c r="L59" s="14" t="s">
        <v>316</v>
      </c>
      <c r="M59" s="14" t="s">
        <v>59</v>
      </c>
      <c r="N59" s="14" t="s">
        <v>25</v>
      </c>
      <c r="O59" s="13">
        <v>1</v>
      </c>
    </row>
    <row r="60" spans="1:16" x14ac:dyDescent="0.2">
      <c r="A60" s="13">
        <v>260110</v>
      </c>
      <c r="B60" s="16">
        <v>43048.466857060186</v>
      </c>
      <c r="C60" s="16" t="s">
        <v>651</v>
      </c>
      <c r="D60" s="14" t="s">
        <v>201</v>
      </c>
      <c r="E60" s="14">
        <v>2005</v>
      </c>
      <c r="F60" s="14" t="s">
        <v>202</v>
      </c>
      <c r="G60" s="14" t="s">
        <v>13</v>
      </c>
      <c r="H60" s="14" t="s">
        <v>203</v>
      </c>
      <c r="I60" s="14" t="s">
        <v>15</v>
      </c>
      <c r="J60" s="14" t="s">
        <v>25</v>
      </c>
      <c r="K60" s="14" t="s">
        <v>25</v>
      </c>
      <c r="L60" s="14" t="s">
        <v>204</v>
      </c>
      <c r="M60" s="14" t="s">
        <v>205</v>
      </c>
      <c r="N60" s="14" t="s">
        <v>25</v>
      </c>
      <c r="O60" s="13">
        <v>1</v>
      </c>
    </row>
    <row r="61" spans="1:16" x14ac:dyDescent="0.2">
      <c r="A61" s="13">
        <v>294506</v>
      </c>
      <c r="B61" s="16">
        <v>43048.458668923609</v>
      </c>
      <c r="C61" s="16" t="s">
        <v>651</v>
      </c>
      <c r="D61" s="14" t="s">
        <v>190</v>
      </c>
      <c r="E61" s="14">
        <v>2006</v>
      </c>
      <c r="F61" s="14" t="s">
        <v>191</v>
      </c>
      <c r="G61" s="14" t="s">
        <v>13</v>
      </c>
      <c r="H61" s="14">
        <v>1</v>
      </c>
      <c r="I61" s="14" t="s">
        <v>35</v>
      </c>
      <c r="J61" s="14" t="s">
        <v>25</v>
      </c>
      <c r="K61" s="14" t="s">
        <v>13</v>
      </c>
      <c r="L61" s="14" t="s">
        <v>192</v>
      </c>
      <c r="M61" s="14" t="s">
        <v>193</v>
      </c>
      <c r="N61" s="14" t="s">
        <v>25</v>
      </c>
      <c r="O61" s="13">
        <v>1</v>
      </c>
    </row>
    <row r="62" spans="1:16" x14ac:dyDescent="0.2">
      <c r="A62" s="13">
        <v>267465</v>
      </c>
      <c r="B62" s="16">
        <v>43048.465358263886</v>
      </c>
      <c r="C62" s="16" t="s">
        <v>651</v>
      </c>
      <c r="D62" s="14" t="s">
        <v>194</v>
      </c>
      <c r="E62" s="14">
        <v>2006</v>
      </c>
      <c r="F62" s="14" t="s">
        <v>195</v>
      </c>
      <c r="G62" s="14" t="s">
        <v>13</v>
      </c>
      <c r="H62" s="14">
        <v>1</v>
      </c>
      <c r="I62" s="14" t="s">
        <v>35</v>
      </c>
      <c r="J62" s="14" t="s">
        <v>25</v>
      </c>
      <c r="K62" s="14" t="s">
        <v>25</v>
      </c>
      <c r="L62" s="14" t="s">
        <v>196</v>
      </c>
      <c r="M62" s="14" t="s">
        <v>197</v>
      </c>
      <c r="N62" s="14" t="s">
        <v>25</v>
      </c>
      <c r="O62" s="13">
        <v>1</v>
      </c>
    </row>
    <row r="63" spans="1:16" x14ac:dyDescent="0.2">
      <c r="A63" s="13">
        <v>273314</v>
      </c>
      <c r="B63" s="16">
        <v>43047.765137303242</v>
      </c>
      <c r="C63" s="16" t="s">
        <v>651</v>
      </c>
      <c r="D63" s="14" t="s">
        <v>60</v>
      </c>
      <c r="E63" s="14">
        <v>2009</v>
      </c>
      <c r="F63" s="14" t="s">
        <v>61</v>
      </c>
      <c r="G63" s="14" t="s">
        <v>13</v>
      </c>
      <c r="H63" s="14" t="s">
        <v>62</v>
      </c>
      <c r="I63" s="14" t="s">
        <v>15</v>
      </c>
      <c r="J63" s="14" t="s">
        <v>25</v>
      </c>
      <c r="K63" s="14" t="s">
        <v>13</v>
      </c>
      <c r="L63" s="14" t="s">
        <v>63</v>
      </c>
      <c r="M63" s="14" t="s">
        <v>17</v>
      </c>
      <c r="N63" s="14" t="s">
        <v>25</v>
      </c>
      <c r="O63" s="13">
        <v>2</v>
      </c>
    </row>
    <row r="64" spans="1:16" x14ac:dyDescent="0.2">
      <c r="A64" s="13">
        <v>263608</v>
      </c>
      <c r="B64" s="16">
        <v>43062.889899699076</v>
      </c>
      <c r="C64" s="16" t="s">
        <v>651</v>
      </c>
      <c r="D64" s="14" t="s">
        <v>578</v>
      </c>
      <c r="E64" s="14">
        <v>2012</v>
      </c>
      <c r="F64" s="14">
        <v>9500180455</v>
      </c>
      <c r="G64" s="14" t="s">
        <v>13</v>
      </c>
      <c r="H64" s="14">
        <v>1</v>
      </c>
      <c r="I64" s="14" t="s">
        <v>579</v>
      </c>
      <c r="J64" s="14" t="s">
        <v>25</v>
      </c>
      <c r="K64" s="14" t="s">
        <v>13</v>
      </c>
      <c r="L64" s="14" t="s">
        <v>580</v>
      </c>
      <c r="M64" s="14" t="s">
        <v>205</v>
      </c>
      <c r="N64" s="14" t="s">
        <v>25</v>
      </c>
      <c r="O64" s="13">
        <v>1</v>
      </c>
    </row>
    <row r="66" spans="15:20" x14ac:dyDescent="0.2">
      <c r="O66" s="13">
        <f>SUM(O2:O64)</f>
        <v>86</v>
      </c>
      <c r="P66" s="13">
        <f t="shared" ref="P66:T66" si="0">SUM(P2:P64)</f>
        <v>6</v>
      </c>
      <c r="S66" s="13">
        <f t="shared" si="0"/>
        <v>0</v>
      </c>
      <c r="T66" s="13">
        <f t="shared" si="0"/>
        <v>0</v>
      </c>
    </row>
  </sheetData>
  <autoFilter ref="A1:T64">
    <sortState ref="A2:T64">
      <sortCondition ref="E2:E64"/>
      <sortCondition ref="D2:D64"/>
    </sortState>
  </autoFilter>
  <printOptions gridLine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&amp;C&amp;"Arial,Bold Italic"&amp;22Pre Registered Not Paid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Form Responses 1</vt:lpstr>
      <vt:lpstr>Updated till 25112017</vt:lpstr>
      <vt:lpstr>Final before 2611</vt:lpstr>
      <vt:lpstr>Pre Registered Paid</vt:lpstr>
      <vt:lpstr>Pre Registered Not Paid</vt:lpstr>
      <vt:lpstr>'Pre Registered Not Paid'!Print_Area</vt:lpstr>
      <vt:lpstr>'Pre Registered Paid'!Print_Area</vt:lpstr>
      <vt:lpstr>'Pre Registered Not Paid'!Print_Titles</vt:lpstr>
      <vt:lpstr>'Pre Registered Paid'!Print_Titles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</dc:creator>
  <cp:lastModifiedBy>Ananthapadmanabhan</cp:lastModifiedBy>
  <cp:lastPrinted>2017-11-26T08:07:44Z</cp:lastPrinted>
  <dcterms:created xsi:type="dcterms:W3CDTF">2017-11-25T17:23:40Z</dcterms:created>
  <dcterms:modified xsi:type="dcterms:W3CDTF">2017-12-15T06:24:27Z</dcterms:modified>
</cp:coreProperties>
</file>